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riff\Documents\NewWave Data Analytics Class\"/>
    </mc:Choice>
  </mc:AlternateContent>
  <xr:revisionPtr revIDLastSave="0" documentId="13_ncr:1_{B28E9D4B-1C67-4D5A-8B12-7E11242B1B9E}" xr6:coauthVersionLast="47" xr6:coauthVersionMax="47" xr10:uidLastSave="{00000000-0000-0000-0000-000000000000}"/>
  <bookViews>
    <workbookView xWindow="-108" yWindow="-108" windowWidth="23256" windowHeight="12456" activeTab="3" xr2:uid="{00000000-000D-0000-FFFF-FFFF00000000}"/>
  </bookViews>
  <sheets>
    <sheet name="Description" sheetId="2" r:id="rId1"/>
    <sheet name="Data" sheetId="1" r:id="rId2"/>
    <sheet name="PIVOT Table" sheetId="5" r:id="rId3"/>
    <sheet name="Dashboard" sheetId="6" r:id="rId4"/>
  </sheets>
  <definedNames>
    <definedName name="Slicer_Region">#N/A</definedName>
    <definedName name="Slicer_SKU_Code">#N/A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 r="I5" i="1"/>
  <c r="I6" i="1"/>
  <c r="I7" i="1"/>
  <c r="I44" i="1" s="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alcChain>
</file>

<file path=xl/sharedStrings.xml><?xml version="1.0" encoding="utf-8"?>
<sst xmlns="http://schemas.openxmlformats.org/spreadsheetml/2006/main" count="266" uniqueCount="95">
  <si>
    <t>Transaction_ID</t>
  </si>
  <si>
    <t>Date_Ref</t>
  </si>
  <si>
    <t>Region</t>
  </si>
  <si>
    <t>Branch_Manager</t>
  </si>
  <si>
    <t>SKU_Code</t>
  </si>
  <si>
    <t>Qty</t>
  </si>
  <si>
    <t>Unit_Price</t>
  </si>
  <si>
    <t>Status</t>
  </si>
  <si>
    <t>TXN-9901</t>
  </si>
  <si>
    <t>LAP-99</t>
  </si>
  <si>
    <t>Paid</t>
  </si>
  <si>
    <t>MOUSE-01</t>
  </si>
  <si>
    <t>Refunded</t>
  </si>
  <si>
    <t>TXN-9903</t>
  </si>
  <si>
    <t>TXN-9904</t>
  </si>
  <si>
    <t>Penang</t>
  </si>
  <si>
    <t>MONITOR-B</t>
  </si>
  <si>
    <t>Pending</t>
  </si>
  <si>
    <t>TXN-9905</t>
  </si>
  <si>
    <t>LAP-90</t>
  </si>
  <si>
    <t>TXN-9907</t>
  </si>
  <si>
    <t>TXN-9909</t>
  </si>
  <si>
    <t>TXN-9910</t>
  </si>
  <si>
    <t>TXN-9911</t>
  </si>
  <si>
    <t>Johor</t>
  </si>
  <si>
    <t>TXN-9913</t>
  </si>
  <si>
    <t>TXN-9914</t>
  </si>
  <si>
    <t>TXN-9916</t>
  </si>
  <si>
    <t>TXN-9917</t>
  </si>
  <si>
    <t>TXN-9919</t>
  </si>
  <si>
    <t>TXN-9920</t>
  </si>
  <si>
    <t>TXN-9921</t>
  </si>
  <si>
    <t>Siti Binti Abu</t>
  </si>
  <si>
    <t>Ali B. Rahim</t>
  </si>
  <si>
    <t>TXN-9923</t>
  </si>
  <si>
    <t>Lim Wei</t>
  </si>
  <si>
    <t>TXN-9925</t>
  </si>
  <si>
    <t>TXN-9926</t>
  </si>
  <si>
    <t>TXN-9928</t>
  </si>
  <si>
    <t>TXN-9929</t>
  </si>
  <si>
    <t>TXN-9930</t>
  </si>
  <si>
    <t>TXN-9932</t>
  </si>
  <si>
    <t>TXN-9933</t>
  </si>
  <si>
    <t>TXN-9935</t>
  </si>
  <si>
    <t>TXN-9936</t>
  </si>
  <si>
    <t>TXN-9938</t>
  </si>
  <si>
    <t>TXN-9939</t>
  </si>
  <si>
    <t>TXN-9940</t>
  </si>
  <si>
    <t>Dataset Title: Global Sales &amp; Ops Performance Log (2023-2024)</t>
  </si>
  <si>
    <t>Context: This is a raw export from a legacy ERP system. It tracks transactions across four Malaysian regions (KL, Selangor, Johor, Penang).</t>
  </si>
  <si>
    <t>Description</t>
  </si>
  <si>
    <t>Current state of payment.</t>
  </si>
  <si>
    <t>Used for filtering (Paid, Pending, Refunded).</t>
  </si>
  <si>
    <t>Field Name</t>
  </si>
  <si>
    <t>Key Data Challenges (Traps)</t>
  </si>
  <si>
    <t>Unique identifier for each sale.</t>
  </si>
  <si>
    <t>Missing "TXN-" prefix on several records.</t>
  </si>
  <si>
    <t>Original transaction date.</t>
  </si>
  <si>
    <t>Contains mixed formats (Dots, Dashes, and Serials).</t>
  </si>
  <si>
    <t>Sales territory (MY).</t>
  </si>
  <si>
    <t>Inconsistent casing (e.g., "kl" vs "KL").</t>
  </si>
  <si>
    <t>Personnel in charge.</t>
  </si>
  <si>
    <t>Trailing spaces; needs Flash Fill/Clean.</t>
  </si>
  <si>
    <t>Product Stock Keeping Unit.</t>
  </si>
  <si>
    <t>Standardized; used for XLOOKUP exercises.</t>
  </si>
  <si>
    <t>Unit volume per order.</t>
  </si>
  <si>
    <t>Negative values exist (Refunded status).</t>
  </si>
  <si>
    <t>Retail price per unit.</t>
  </si>
  <si>
    <t>Stored as text; includes "RM" prefix.</t>
  </si>
  <si>
    <t>Data Description</t>
  </si>
  <si>
    <t>Sales Performance for Company</t>
  </si>
  <si>
    <t>Kevin Tan</t>
  </si>
  <si>
    <t>TXN-9902</t>
  </si>
  <si>
    <t>TXN-9906</t>
  </si>
  <si>
    <t>TXN-9908</t>
  </si>
  <si>
    <t>TXN-9912</t>
  </si>
  <si>
    <t>TXN-9915</t>
  </si>
  <si>
    <t>TXN-9918</t>
  </si>
  <si>
    <t>TXN-9922</t>
  </si>
  <si>
    <t>TXN-9924</t>
  </si>
  <si>
    <t>TXN-9927</t>
  </si>
  <si>
    <t>TXN-9931</t>
  </si>
  <si>
    <t>TXN-9934</t>
  </si>
  <si>
    <t>TXN-9937</t>
  </si>
  <si>
    <t>Kl</t>
  </si>
  <si>
    <t>Selangor</t>
  </si>
  <si>
    <t>Revenue</t>
  </si>
  <si>
    <t>Grand Total</t>
  </si>
  <si>
    <t>Sum of Revenue</t>
  </si>
  <si>
    <t>2023</t>
  </si>
  <si>
    <t>2024</t>
  </si>
  <si>
    <t>Sum of Qty</t>
  </si>
  <si>
    <t>Count of Transaction_ID</t>
  </si>
  <si>
    <t>Year</t>
  </si>
  <si>
    <t>Sales Performance Dashboard 01-12-2023 to 09-01-2024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</si>
</sst>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YR]\ #,##0.00"/>
  </numFmts>
  <fonts count="15">
    <font>
      <sz val="10"/>
      <color rgb="FF000000"/>
      <name val="Arial"/>
      <scheme val="minor"/>
    </font>
    <font>
      <sz val="10"/>
      <color theme="1"/>
      <name val="Arial"/>
      <scheme val="minor"/>
    </font>
    <font>
      <sz val="10"/>
      <color rgb="FF1F1F1F"/>
      <name val="&quot;Google Sans Text&quot;"/>
    </font>
    <font>
      <b/>
      <sz val="18"/>
      <color theme="1"/>
      <name val="&quot;Google Sans&quot;"/>
    </font>
    <font>
      <b/>
      <sz val="18"/>
      <color theme="1"/>
      <name val="&quot;Google Sans Text&quot;"/>
    </font>
    <font>
      <b/>
      <sz val="10"/>
      <color theme="1"/>
      <name val="&quot;Google Sans Text&quot;"/>
    </font>
    <font>
      <b/>
      <sz val="20"/>
      <color theme="1"/>
      <name val="Raleway"/>
      <family val="2"/>
    </font>
    <font>
      <sz val="16"/>
      <color theme="1"/>
      <name val="Ebrima"/>
    </font>
    <font>
      <b/>
      <sz val="12"/>
      <color theme="0"/>
      <name val="Raleway"/>
      <family val="2"/>
    </font>
    <font>
      <b/>
      <sz val="12"/>
      <color theme="1"/>
      <name val="Ebrima"/>
    </font>
    <font>
      <sz val="12"/>
      <color theme="1"/>
      <name val="Ebrima"/>
    </font>
    <font>
      <sz val="12"/>
      <color rgb="FF000000"/>
      <name val="Aptos"/>
      <family val="2"/>
    </font>
    <font>
      <sz val="10"/>
      <color theme="1"/>
      <name val="Arial"/>
      <family val="2"/>
      <scheme val="minor"/>
    </font>
    <font>
      <b/>
      <u/>
      <sz val="10"/>
      <color rgb="FF000000"/>
      <name val="Arial"/>
      <family val="2"/>
      <scheme val="minor"/>
    </font>
    <font>
      <b/>
      <sz val="18"/>
      <color rgb="FF000000"/>
      <name val="Arial"/>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0" fillId="0" borderId="0" xfId="0" applyAlignment="1">
      <alignment wrapText="1"/>
    </xf>
    <xf numFmtId="0" fontId="6" fillId="0" borderId="0" xfId="0" applyFont="1" applyAlignment="1">
      <alignment vertical="center"/>
    </xf>
    <xf numFmtId="0" fontId="7" fillId="0" borderId="0" xfId="0" applyFont="1" applyAlignment="1">
      <alignment vertical="center"/>
    </xf>
    <xf numFmtId="0" fontId="9" fillId="0" borderId="0" xfId="0" applyFont="1" applyAlignment="1">
      <alignment horizontal="left" vertical="center" wrapText="1" readingOrder="1"/>
    </xf>
    <xf numFmtId="0" fontId="10" fillId="0" borderId="0" xfId="0" applyFont="1" applyAlignment="1">
      <alignment horizontal="left" vertical="center" wrapText="1" readingOrder="1"/>
    </xf>
    <xf numFmtId="0" fontId="9" fillId="0" borderId="0" xfId="0" applyFont="1" applyAlignment="1">
      <alignment horizontal="left" vertical="center"/>
    </xf>
    <xf numFmtId="0" fontId="10" fillId="0" borderId="0" xfId="0" applyFont="1" applyAlignment="1">
      <alignment horizontal="left" vertical="center" wrapText="1"/>
    </xf>
    <xf numFmtId="0" fontId="8" fillId="2" borderId="0" xfId="0" applyFont="1" applyFill="1" applyAlignment="1">
      <alignment horizontal="left" vertical="center" wrapText="1" readingOrder="1"/>
    </xf>
    <xf numFmtId="0" fontId="12" fillId="0" borderId="0" xfId="0" applyFont="1"/>
    <xf numFmtId="0" fontId="13" fillId="0" borderId="0" xfId="0" applyFont="1"/>
    <xf numFmtId="164" fontId="2" fillId="0" borderId="0" xfId="0" applyNumberFormat="1" applyFont="1"/>
    <xf numFmtId="164" fontId="0" fillId="0" borderId="0" xfId="0" applyNumberFormat="1" applyAlignment="1">
      <alignment horizontal="left"/>
    </xf>
    <xf numFmtId="164" fontId="1" fillId="0" borderId="0" xfId="0" applyNumberFormat="1" applyFont="1" applyAlignment="1">
      <alignment horizontal="left"/>
    </xf>
    <xf numFmtId="164" fontId="2" fillId="0" borderId="0" xfId="0" applyNumberFormat="1" applyFont="1" applyAlignment="1">
      <alignment horizontal="left"/>
    </xf>
    <xf numFmtId="14" fontId="13" fillId="0" borderId="0" xfId="0" applyNumberFormat="1" applyFont="1" applyAlignment="1">
      <alignment horizontal="center"/>
    </xf>
    <xf numFmtId="14" fontId="1" fillId="0" borderId="0" xfId="0" applyNumberFormat="1" applyFont="1" applyAlignment="1">
      <alignment horizontal="center"/>
    </xf>
    <xf numFmtId="14" fontId="2" fillId="0" borderId="0" xfId="0" applyNumberFormat="1" applyFont="1" applyAlignment="1">
      <alignment horizontal="center"/>
    </xf>
    <xf numFmtId="14" fontId="0" fillId="0" borderId="0" xfId="0" applyNumberFormat="1" applyAlignment="1">
      <alignment horizontal="center"/>
    </xf>
    <xf numFmtId="164" fontId="11" fillId="0" borderId="0" xfId="0" applyNumberFormat="1" applyFont="1" applyAlignment="1">
      <alignment vertical="center"/>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14" fillId="0" borderId="0" xfId="0" applyFont="1" applyAlignment="1">
      <alignment horizontal="left"/>
    </xf>
  </cellXfs>
  <cellStyles count="1">
    <cellStyle name="Normal" xfId="0" builtinId="0"/>
  </cellStyles>
  <dxfs count="25">
    <dxf>
      <font>
        <b val="0"/>
        <i val="0"/>
        <strike val="0"/>
        <condense val="0"/>
        <extend val="0"/>
        <outline val="0"/>
        <shadow val="0"/>
        <u val="none"/>
        <vertAlign val="baseline"/>
        <sz val="12"/>
        <color theme="1"/>
        <name val="Ebrima"/>
        <scheme val="none"/>
      </font>
      <alignment horizontal="left" vertical="center" textRotation="0" wrapText="1" indent="0" justifyLastLine="0" shrinkToFit="0" readingOrder="1"/>
    </dxf>
    <dxf>
      <font>
        <b val="0"/>
        <i val="0"/>
        <strike val="0"/>
        <condense val="0"/>
        <extend val="0"/>
        <outline val="0"/>
        <shadow val="0"/>
        <u val="none"/>
        <vertAlign val="baseline"/>
        <sz val="12"/>
        <color theme="1"/>
        <name val="Ebrima"/>
        <scheme val="none"/>
      </font>
      <alignment horizontal="left" vertical="center" textRotation="0" wrapText="1" indent="0" justifyLastLine="0" shrinkToFit="0" readingOrder="1"/>
    </dxf>
    <dxf>
      <font>
        <b/>
        <i val="0"/>
        <strike val="0"/>
        <condense val="0"/>
        <extend val="0"/>
        <outline val="0"/>
        <shadow val="0"/>
        <u val="none"/>
        <vertAlign val="baseline"/>
        <sz val="12"/>
        <color theme="1"/>
        <name val="Ebrima"/>
        <scheme val="none"/>
      </font>
      <alignment horizontal="left" vertical="center" textRotation="0" wrapText="1" indent="0" justifyLastLine="0" shrinkToFit="0" readingOrder="1"/>
    </dxf>
    <dxf>
      <font>
        <b/>
        <strike val="0"/>
        <outline val="0"/>
        <shadow val="0"/>
        <u val="none"/>
        <vertAlign val="baseline"/>
        <sz val="12"/>
        <color theme="1"/>
        <name val="Ebrima"/>
        <scheme val="none"/>
      </font>
      <alignment horizontal="left" vertical="center" textRotation="0" indent="0" justifyLastLine="0" shrinkToFit="0"/>
    </dxf>
    <dxf>
      <font>
        <b/>
        <i val="0"/>
        <strike val="0"/>
        <condense val="0"/>
        <extend val="0"/>
        <outline val="0"/>
        <shadow val="0"/>
        <u val="none"/>
        <vertAlign val="baseline"/>
        <sz val="12"/>
        <color theme="0"/>
        <name val="Raleway"/>
        <family val="2"/>
        <scheme val="none"/>
      </font>
      <fill>
        <patternFill patternType="solid">
          <fgColor indexed="64"/>
          <bgColor rgb="FF002060"/>
        </patternFill>
      </fill>
      <alignment horizontal="left"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10"/>
        <color rgb="FF1F1F1F"/>
        <name val="&quot;Google Sans Text&quot;"/>
        <scheme val="none"/>
      </font>
      <numFmt numFmtId="164" formatCode="[$MYR]\ #,##0.00"/>
    </dxf>
    <dxf>
      <font>
        <b val="0"/>
        <i val="0"/>
        <strike val="0"/>
        <condense val="0"/>
        <extend val="0"/>
        <outline val="0"/>
        <shadow val="0"/>
        <u val="none"/>
        <vertAlign val="baseline"/>
        <sz val="10"/>
        <color rgb="FF1F1F1F"/>
        <name val="&quot;Google Sans Text&quot;"/>
        <scheme val="none"/>
      </font>
      <numFmt numFmtId="164" formatCode="[$MYR]\ #,##0.00"/>
    </dxf>
    <dxf>
      <font>
        <b val="0"/>
        <i val="0"/>
        <strike val="0"/>
        <condense val="0"/>
        <extend val="0"/>
        <outline val="0"/>
        <shadow val="0"/>
        <u val="none"/>
        <vertAlign val="baseline"/>
        <sz val="10"/>
        <color rgb="FF1F1F1F"/>
        <name val="&quot;Google Sans Text&quot;"/>
        <scheme val="none"/>
      </font>
    </dxf>
    <dxf>
      <font>
        <b val="0"/>
        <i val="0"/>
        <strike val="0"/>
        <condense val="0"/>
        <extend val="0"/>
        <outline val="0"/>
        <shadow val="0"/>
        <u val="none"/>
        <vertAlign val="baseline"/>
        <sz val="10"/>
        <color rgb="FF1F1F1F"/>
        <name val="&quot;Google Sans Text&quot;"/>
        <scheme val="none"/>
      </font>
    </dxf>
    <dxf>
      <font>
        <b val="0"/>
        <i val="0"/>
        <strike val="0"/>
        <condense val="0"/>
        <extend val="0"/>
        <outline val="0"/>
        <shadow val="0"/>
        <u val="none"/>
        <vertAlign val="baseline"/>
        <sz val="10"/>
        <color rgb="FF1F1F1F"/>
        <name val="&quot;Google Sans Text&quot;"/>
        <scheme val="none"/>
      </font>
      <numFmt numFmtId="164" formatCode="[$MYR]\ #,##0.00"/>
      <alignment horizontal="left" vertical="bottom" textRotation="0" wrapText="0" indent="0" justifyLastLine="0" shrinkToFit="0" readingOrder="0"/>
    </dxf>
    <dxf>
      <font>
        <b val="0"/>
        <i val="0"/>
        <strike val="0"/>
        <condense val="0"/>
        <extend val="0"/>
        <outline val="0"/>
        <shadow val="0"/>
        <u val="none"/>
        <vertAlign val="baseline"/>
        <sz val="10"/>
        <color rgb="FF1F1F1F"/>
        <name val="&quot;Google Sans Text&quot;"/>
        <scheme val="none"/>
      </font>
      <numFmt numFmtId="164" formatCode="[$MYR]\ #,##0.00"/>
      <alignment horizontal="left" vertical="bottom" textRotation="0" wrapText="0" indent="0" justifyLastLine="0" shrinkToFit="0" readingOrder="0"/>
    </dxf>
    <dxf>
      <font>
        <b val="0"/>
        <i val="0"/>
        <strike val="0"/>
        <condense val="0"/>
        <extend val="0"/>
        <outline val="0"/>
        <shadow val="0"/>
        <u val="none"/>
        <vertAlign val="baseline"/>
        <sz val="10"/>
        <color rgb="FF1F1F1F"/>
        <name val="&quot;Google Sans Text&quot;"/>
        <scheme val="none"/>
      </font>
    </dxf>
    <dxf>
      <font>
        <b val="0"/>
        <i val="0"/>
        <strike val="0"/>
        <condense val="0"/>
        <extend val="0"/>
        <outline val="0"/>
        <shadow val="0"/>
        <u val="none"/>
        <vertAlign val="baseline"/>
        <sz val="10"/>
        <color rgb="FF1F1F1F"/>
        <name val="&quot;Google Sans Text&quot;"/>
        <scheme val="none"/>
      </font>
    </dxf>
    <dxf>
      <font>
        <b val="0"/>
        <i val="0"/>
        <strike val="0"/>
        <condense val="0"/>
        <extend val="0"/>
        <outline val="0"/>
        <shadow val="0"/>
        <u val="none"/>
        <vertAlign val="baseline"/>
        <sz val="10"/>
        <color rgb="FF1F1F1F"/>
        <name val="&quot;Google Sans Text&quot;"/>
        <scheme val="none"/>
      </font>
    </dxf>
    <dxf>
      <font>
        <b val="0"/>
        <i val="0"/>
        <strike val="0"/>
        <condense val="0"/>
        <extend val="0"/>
        <outline val="0"/>
        <shadow val="0"/>
        <u val="none"/>
        <vertAlign val="baseline"/>
        <sz val="10"/>
        <color rgb="FF1F1F1F"/>
        <name val="&quot;Google Sans Text&quot;"/>
        <scheme val="none"/>
      </font>
    </dxf>
    <dxf>
      <font>
        <b val="0"/>
        <i val="0"/>
        <strike val="0"/>
        <condense val="0"/>
        <extend val="0"/>
        <outline val="0"/>
        <shadow val="0"/>
        <u val="none"/>
        <vertAlign val="baseline"/>
        <sz val="10"/>
        <color rgb="FF1F1F1F"/>
        <name val="&quot;Google Sans Text&quot;"/>
        <scheme val="none"/>
      </font>
    </dxf>
    <dxf>
      <font>
        <b val="0"/>
        <i val="0"/>
        <strike val="0"/>
        <condense val="0"/>
        <extend val="0"/>
        <outline val="0"/>
        <shadow val="0"/>
        <u val="none"/>
        <vertAlign val="baseline"/>
        <sz val="10"/>
        <color rgb="FF1F1F1F"/>
        <name val="&quot;Google Sans Text&quot;"/>
        <scheme val="none"/>
      </font>
    </dxf>
    <dxf>
      <font>
        <b val="0"/>
        <i val="0"/>
        <strike val="0"/>
        <condense val="0"/>
        <extend val="0"/>
        <outline val="0"/>
        <shadow val="0"/>
        <u val="none"/>
        <vertAlign val="baseline"/>
        <sz val="10"/>
        <color rgb="FF1F1F1F"/>
        <name val="&quot;Google Sans Text&quot;"/>
        <scheme val="none"/>
      </font>
    </dxf>
    <dxf>
      <font>
        <b val="0"/>
        <i val="0"/>
        <strike val="0"/>
        <condense val="0"/>
        <extend val="0"/>
        <outline val="0"/>
        <shadow val="0"/>
        <u val="none"/>
        <vertAlign val="baseline"/>
        <sz val="10"/>
        <color rgb="FF1F1F1F"/>
        <name val="&quot;Google Sans Text&quot;"/>
        <scheme val="none"/>
      </font>
    </dxf>
    <dxf>
      <font>
        <b val="0"/>
        <i val="0"/>
        <strike val="0"/>
        <condense val="0"/>
        <extend val="0"/>
        <outline val="0"/>
        <shadow val="0"/>
        <u val="none"/>
        <vertAlign val="baseline"/>
        <sz val="10"/>
        <color rgb="FF1F1F1F"/>
        <name val="&quot;Google Sans Text&quot;"/>
        <scheme val="none"/>
      </font>
      <numFmt numFmtId="19" formatCode="dd/mm/yy"/>
      <alignment horizontal="center" vertical="bottom" textRotation="0" wrapText="0" indent="0" justifyLastLine="0" shrinkToFit="0" readingOrder="0"/>
    </dxf>
    <dxf>
      <font>
        <b val="0"/>
        <i val="0"/>
        <strike val="0"/>
        <condense val="0"/>
        <extend val="0"/>
        <outline val="0"/>
        <shadow val="0"/>
        <u val="none"/>
        <vertAlign val="baseline"/>
        <sz val="10"/>
        <color rgb="FF1F1F1F"/>
        <name val="&quot;Google Sans Text&quot;"/>
        <scheme val="none"/>
      </font>
      <numFmt numFmtId="19" formatCode="dd/mm/yy"/>
      <alignment horizontal="center" vertical="bottom" textRotation="0" wrapText="0" indent="0" justifyLastLine="0" shrinkToFit="0" readingOrder="0"/>
    </dxf>
    <dxf>
      <font>
        <b val="0"/>
        <i val="0"/>
        <strike val="0"/>
        <condense val="0"/>
        <extend val="0"/>
        <outline val="0"/>
        <shadow val="0"/>
        <u val="none"/>
        <vertAlign val="baseline"/>
        <sz val="10"/>
        <color rgb="FF1F1F1F"/>
        <name val="&quot;Google Sans Text&quot;"/>
        <scheme val="none"/>
      </font>
    </dxf>
    <dxf>
      <font>
        <b val="0"/>
        <i val="0"/>
        <strike val="0"/>
        <condense val="0"/>
        <extend val="0"/>
        <outline val="0"/>
        <shadow val="0"/>
        <u val="none"/>
        <vertAlign val="baseline"/>
        <sz val="10"/>
        <color rgb="FF1F1F1F"/>
        <name val="&quot;Google Sans Text&quot;"/>
        <scheme val="none"/>
      </font>
    </dxf>
    <dxf>
      <font>
        <b val="0"/>
        <i val="0"/>
        <strike val="0"/>
        <condense val="0"/>
        <extend val="0"/>
        <outline val="0"/>
        <shadow val="0"/>
        <u val="none"/>
        <vertAlign val="baseline"/>
        <sz val="10"/>
        <color rgb="FF1F1F1F"/>
        <name val="&quot;Google Sans Text&quot;"/>
        <scheme val="none"/>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Sheet &amp; Data Visualization - Sales Performance Analysis.xlsx]PIVOT Table!PivotTable4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135599779706175"/>
          <c:y val="0.26981085328935656"/>
          <c:w val="0.57361212409885443"/>
          <c:h val="0.51996531407025448"/>
        </c:manualLayout>
      </c:layout>
      <c:bar3DChart>
        <c:barDir val="col"/>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Table'!$A$4:$A$8</c:f>
              <c:strCache>
                <c:ptCount val="4"/>
                <c:pt idx="0">
                  <c:v>Johor</c:v>
                </c:pt>
                <c:pt idx="1">
                  <c:v>Kl</c:v>
                </c:pt>
                <c:pt idx="2">
                  <c:v>Penang</c:v>
                </c:pt>
                <c:pt idx="3">
                  <c:v>Selangor</c:v>
                </c:pt>
              </c:strCache>
            </c:strRef>
          </c:cat>
          <c:val>
            <c:numRef>
              <c:f>'PIVOT Table'!$B$4:$B$8</c:f>
              <c:numCache>
                <c:formatCode>[$MYR]\ #,##0.00</c:formatCode>
                <c:ptCount val="4"/>
                <c:pt idx="0">
                  <c:v>119890</c:v>
                </c:pt>
                <c:pt idx="1">
                  <c:v>246650</c:v>
                </c:pt>
                <c:pt idx="2">
                  <c:v>108900</c:v>
                </c:pt>
                <c:pt idx="3">
                  <c:v>51125</c:v>
                </c:pt>
              </c:numCache>
            </c:numRef>
          </c:val>
          <c:extLst>
            <c:ext xmlns:c16="http://schemas.microsoft.com/office/drawing/2014/chart" uri="{C3380CC4-5D6E-409C-BE32-E72D297353CC}">
              <c16:uniqueId val="{00000000-72F2-4801-9976-A37FD2D27A73}"/>
            </c:ext>
          </c:extLst>
        </c:ser>
        <c:dLbls>
          <c:showLegendKey val="0"/>
          <c:showVal val="0"/>
          <c:showCatName val="0"/>
          <c:showSerName val="0"/>
          <c:showPercent val="0"/>
          <c:showBubbleSize val="0"/>
        </c:dLbls>
        <c:gapWidth val="150"/>
        <c:shape val="box"/>
        <c:axId val="1281689743"/>
        <c:axId val="1281696463"/>
        <c:axId val="0"/>
      </c:bar3DChart>
      <c:catAx>
        <c:axId val="1281689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696463"/>
        <c:crosses val="autoZero"/>
        <c:auto val="1"/>
        <c:lblAlgn val="ctr"/>
        <c:lblOffset val="100"/>
        <c:noMultiLvlLbl val="0"/>
      </c:catAx>
      <c:valAx>
        <c:axId val="1281696463"/>
        <c:scaling>
          <c:orientation val="minMax"/>
        </c:scaling>
        <c:delete val="0"/>
        <c:axPos val="l"/>
        <c:majorGridlines>
          <c:spPr>
            <a:ln w="9525" cap="flat" cmpd="sng" algn="ctr">
              <a:solidFill>
                <a:schemeClr val="tx1">
                  <a:lumMod val="15000"/>
                  <a:lumOff val="85000"/>
                </a:schemeClr>
              </a:solidFill>
              <a:round/>
            </a:ln>
            <a:effectLst/>
          </c:spPr>
        </c:majorGridlines>
        <c:numFmt formatCode="[$MY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68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Sheet &amp; Data Visualization - Sales Performance Analysis.xlsx]PIVOT Table!PivotTable1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c:f>
              <c:strCache>
                <c:ptCount val="1"/>
                <c:pt idx="0">
                  <c:v>Total</c:v>
                </c:pt>
              </c:strCache>
            </c:strRef>
          </c:tx>
          <c:spPr>
            <a:ln w="28575" cap="rnd">
              <a:solidFill>
                <a:schemeClr val="accent1"/>
              </a:solidFill>
              <a:round/>
            </a:ln>
            <a:effectLst/>
          </c:spPr>
          <c:marker>
            <c:symbol val="none"/>
          </c:marker>
          <c:cat>
            <c:strRef>
              <c:f>'PIVOT Table'!$A$12:$A$14</c:f>
              <c:strCache>
                <c:ptCount val="2"/>
                <c:pt idx="0">
                  <c:v>2023</c:v>
                </c:pt>
                <c:pt idx="1">
                  <c:v>2024</c:v>
                </c:pt>
              </c:strCache>
            </c:strRef>
          </c:cat>
          <c:val>
            <c:numRef>
              <c:f>'PIVOT Table'!$B$12:$B$14</c:f>
              <c:numCache>
                <c:formatCode>[$MYR]\ #,##0.00</c:formatCode>
                <c:ptCount val="2"/>
                <c:pt idx="0">
                  <c:v>387115</c:v>
                </c:pt>
                <c:pt idx="1">
                  <c:v>139450</c:v>
                </c:pt>
              </c:numCache>
            </c:numRef>
          </c:val>
          <c:smooth val="0"/>
          <c:extLst>
            <c:ext xmlns:c16="http://schemas.microsoft.com/office/drawing/2014/chart" uri="{C3380CC4-5D6E-409C-BE32-E72D297353CC}">
              <c16:uniqueId val="{00000000-934D-4161-8045-E66B1E65F7F0}"/>
            </c:ext>
          </c:extLst>
        </c:ser>
        <c:dLbls>
          <c:showLegendKey val="0"/>
          <c:showVal val="0"/>
          <c:showCatName val="0"/>
          <c:showSerName val="0"/>
          <c:showPercent val="0"/>
          <c:showBubbleSize val="0"/>
        </c:dLbls>
        <c:smooth val="0"/>
        <c:axId val="1389420991"/>
        <c:axId val="1389421951"/>
      </c:lineChart>
      <c:catAx>
        <c:axId val="138942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421951"/>
        <c:crosses val="autoZero"/>
        <c:auto val="1"/>
        <c:lblAlgn val="ctr"/>
        <c:lblOffset val="100"/>
        <c:noMultiLvlLbl val="0"/>
      </c:catAx>
      <c:valAx>
        <c:axId val="1389421951"/>
        <c:scaling>
          <c:orientation val="minMax"/>
        </c:scaling>
        <c:delete val="0"/>
        <c:axPos val="l"/>
        <c:majorGridlines>
          <c:spPr>
            <a:ln w="9525" cap="flat" cmpd="sng" algn="ctr">
              <a:solidFill>
                <a:schemeClr val="tx1">
                  <a:lumMod val="15000"/>
                  <a:lumOff val="85000"/>
                </a:schemeClr>
              </a:solidFill>
              <a:round/>
            </a:ln>
            <a:effectLst/>
          </c:spPr>
        </c:majorGridlines>
        <c:numFmt formatCode="[$MY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42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Sheet &amp; Data Visualization - Sales Performance Analysis.xlsx]PIVOT Table!PivotTable2</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6A6-4D06-85DD-49BD7D3770D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6A6-4D06-85DD-49BD7D3770D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6A6-4D06-85DD-49BD7D3770D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6A6-4D06-85DD-49BD7D3770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Table'!$A$18:$A$22</c:f>
              <c:strCache>
                <c:ptCount val="4"/>
                <c:pt idx="0">
                  <c:v>LAP-90</c:v>
                </c:pt>
                <c:pt idx="1">
                  <c:v>LAP-99</c:v>
                </c:pt>
                <c:pt idx="2">
                  <c:v>MONITOR-B</c:v>
                </c:pt>
                <c:pt idx="3">
                  <c:v>MOUSE-01</c:v>
                </c:pt>
              </c:strCache>
            </c:strRef>
          </c:cat>
          <c:val>
            <c:numRef>
              <c:f>'PIVOT Table'!$B$18:$B$22</c:f>
              <c:numCache>
                <c:formatCode>General</c:formatCode>
                <c:ptCount val="4"/>
                <c:pt idx="0">
                  <c:v>54</c:v>
                </c:pt>
                <c:pt idx="1">
                  <c:v>51</c:v>
                </c:pt>
                <c:pt idx="2">
                  <c:v>41</c:v>
                </c:pt>
                <c:pt idx="3">
                  <c:v>445</c:v>
                </c:pt>
              </c:numCache>
            </c:numRef>
          </c:val>
          <c:extLst>
            <c:ext xmlns:c16="http://schemas.microsoft.com/office/drawing/2014/chart" uri="{C3380CC4-5D6E-409C-BE32-E72D297353CC}">
              <c16:uniqueId val="{00000008-A6A6-4D06-85DD-49BD7D3770D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Sheet &amp; Data Visualization - Sales Performance Analysis.xlsx]PIVOT Table!PivotTable3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9389566270771338"/>
          <c:y val="0.13496343893468168"/>
          <c:w val="0.45142179969978669"/>
          <c:h val="0.75236966616631118"/>
        </c:manualLayout>
      </c:layout>
      <c:doughnutChart>
        <c:varyColors val="1"/>
        <c:ser>
          <c:idx val="0"/>
          <c:order val="0"/>
          <c:tx>
            <c:strRef>
              <c:f>'PIVOT 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6D-478D-9C72-4B7DCDC984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6D-478D-9C72-4B7DCDC984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6D-478D-9C72-4B7DCDC984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Table'!$E$4:$E$7</c:f>
              <c:strCache>
                <c:ptCount val="3"/>
                <c:pt idx="0">
                  <c:v>Paid</c:v>
                </c:pt>
                <c:pt idx="1">
                  <c:v>Pending</c:v>
                </c:pt>
                <c:pt idx="2">
                  <c:v>Refunded</c:v>
                </c:pt>
              </c:strCache>
            </c:strRef>
          </c:cat>
          <c:val>
            <c:numRef>
              <c:f>'PIVOT Table'!$F$4:$F$7</c:f>
              <c:numCache>
                <c:formatCode>General</c:formatCode>
                <c:ptCount val="3"/>
                <c:pt idx="0">
                  <c:v>32</c:v>
                </c:pt>
                <c:pt idx="1">
                  <c:v>3</c:v>
                </c:pt>
                <c:pt idx="2">
                  <c:v>5</c:v>
                </c:pt>
              </c:numCache>
            </c:numRef>
          </c:val>
          <c:extLst>
            <c:ext xmlns:c16="http://schemas.microsoft.com/office/drawing/2014/chart" uri="{C3380CC4-5D6E-409C-BE32-E72D297353CC}">
              <c16:uniqueId val="{00000006-D06D-478D-9C72-4B7DCDC9846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274320</xdr:colOff>
      <xdr:row>6</xdr:row>
      <xdr:rowOff>0</xdr:rowOff>
    </xdr:from>
    <xdr:to>
      <xdr:col>13</xdr:col>
      <xdr:colOff>342900</xdr:colOff>
      <xdr:row>20</xdr:row>
      <xdr:rowOff>38100</xdr:rowOff>
    </xdr:to>
    <xdr:graphicFrame macro="">
      <xdr:nvGraphicFramePr>
        <xdr:cNvPr id="2" name="Chart 1">
          <a:extLst>
            <a:ext uri="{FF2B5EF4-FFF2-40B4-BE49-F238E27FC236}">
              <a16:creationId xmlns:a16="http://schemas.microsoft.com/office/drawing/2014/main" id="{FA361869-4C0F-4204-A3C2-804493C5C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30480</xdr:colOff>
      <xdr:row>5</xdr:row>
      <xdr:rowOff>114300</xdr:rowOff>
    </xdr:from>
    <xdr:to>
      <xdr:col>21</xdr:col>
      <xdr:colOff>121920</xdr:colOff>
      <xdr:row>20</xdr:row>
      <xdr:rowOff>11430</xdr:rowOff>
    </xdr:to>
    <xdr:graphicFrame macro="">
      <xdr:nvGraphicFramePr>
        <xdr:cNvPr id="3" name="Chart 2">
          <a:extLst>
            <a:ext uri="{FF2B5EF4-FFF2-40B4-BE49-F238E27FC236}">
              <a16:creationId xmlns:a16="http://schemas.microsoft.com/office/drawing/2014/main" id="{99A8AA8D-3E7C-4209-96E5-C792A3BB4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213360</xdr:colOff>
      <xdr:row>22</xdr:row>
      <xdr:rowOff>68580</xdr:rowOff>
    </xdr:from>
    <xdr:to>
      <xdr:col>13</xdr:col>
      <xdr:colOff>464820</xdr:colOff>
      <xdr:row>36</xdr:row>
      <xdr:rowOff>15240</xdr:rowOff>
    </xdr:to>
    <xdr:graphicFrame macro="">
      <xdr:nvGraphicFramePr>
        <xdr:cNvPr id="4" name="Chart 3">
          <a:extLst>
            <a:ext uri="{FF2B5EF4-FFF2-40B4-BE49-F238E27FC236}">
              <a16:creationId xmlns:a16="http://schemas.microsoft.com/office/drawing/2014/main" id="{3B8AFE5A-9BBD-4A58-A3C6-FCF0DEF2D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60960</xdr:colOff>
      <xdr:row>22</xdr:row>
      <xdr:rowOff>68580</xdr:rowOff>
    </xdr:from>
    <xdr:to>
      <xdr:col>21</xdr:col>
      <xdr:colOff>200660</xdr:colOff>
      <xdr:row>36</xdr:row>
      <xdr:rowOff>0</xdr:rowOff>
    </xdr:to>
    <xdr:graphicFrame macro="">
      <xdr:nvGraphicFramePr>
        <xdr:cNvPr id="5" name="Chart 4">
          <a:extLst>
            <a:ext uri="{FF2B5EF4-FFF2-40B4-BE49-F238E27FC236}">
              <a16:creationId xmlns:a16="http://schemas.microsoft.com/office/drawing/2014/main" id="{F4F69DFB-FD45-4756-B34E-6E261BE80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15240</xdr:colOff>
      <xdr:row>5</xdr:row>
      <xdr:rowOff>38100</xdr:rowOff>
    </xdr:from>
    <xdr:to>
      <xdr:col>13</xdr:col>
      <xdr:colOff>556260</xdr:colOff>
      <xdr:row>20</xdr:row>
      <xdr:rowOff>129540</xdr:rowOff>
    </xdr:to>
    <xdr:sp macro="" textlink="">
      <xdr:nvSpPr>
        <xdr:cNvPr id="6" name="Rectangle: Rounded Corners 5">
          <a:extLst>
            <a:ext uri="{FF2B5EF4-FFF2-40B4-BE49-F238E27FC236}">
              <a16:creationId xmlns:a16="http://schemas.microsoft.com/office/drawing/2014/main" id="{652364B8-58CD-C63A-C765-A2A03FAE1661}"/>
            </a:ext>
          </a:extLst>
        </xdr:cNvPr>
        <xdr:cNvSpPr/>
      </xdr:nvSpPr>
      <xdr:spPr>
        <a:xfrm>
          <a:off x="4282440" y="205740"/>
          <a:ext cx="4198620" cy="2606040"/>
        </a:xfrm>
        <a:prstGeom prst="round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464820</xdr:colOff>
      <xdr:row>5</xdr:row>
      <xdr:rowOff>22860</xdr:rowOff>
    </xdr:from>
    <xdr:to>
      <xdr:col>21</xdr:col>
      <xdr:colOff>213360</xdr:colOff>
      <xdr:row>20</xdr:row>
      <xdr:rowOff>137160</xdr:rowOff>
    </xdr:to>
    <xdr:sp macro="" textlink="">
      <xdr:nvSpPr>
        <xdr:cNvPr id="7" name="Rectangle: Rounded Corners 6">
          <a:extLst>
            <a:ext uri="{FF2B5EF4-FFF2-40B4-BE49-F238E27FC236}">
              <a16:creationId xmlns:a16="http://schemas.microsoft.com/office/drawing/2014/main" id="{E34EEF80-741E-4208-A6A7-C9D02A56DE4F}"/>
            </a:ext>
          </a:extLst>
        </xdr:cNvPr>
        <xdr:cNvSpPr/>
      </xdr:nvSpPr>
      <xdr:spPr>
        <a:xfrm>
          <a:off x="8999220" y="190500"/>
          <a:ext cx="4015740" cy="2628900"/>
        </a:xfrm>
        <a:prstGeom prst="round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53340</xdr:colOff>
      <xdr:row>21</xdr:row>
      <xdr:rowOff>144780</xdr:rowOff>
    </xdr:from>
    <xdr:to>
      <xdr:col>13</xdr:col>
      <xdr:colOff>541020</xdr:colOff>
      <xdr:row>37</xdr:row>
      <xdr:rowOff>68580</xdr:rowOff>
    </xdr:to>
    <xdr:sp macro="" textlink="">
      <xdr:nvSpPr>
        <xdr:cNvPr id="8" name="Rectangle: Rounded Corners 7">
          <a:extLst>
            <a:ext uri="{FF2B5EF4-FFF2-40B4-BE49-F238E27FC236}">
              <a16:creationId xmlns:a16="http://schemas.microsoft.com/office/drawing/2014/main" id="{86BFD586-935A-4788-847A-068CD02A02CC}"/>
            </a:ext>
          </a:extLst>
        </xdr:cNvPr>
        <xdr:cNvSpPr/>
      </xdr:nvSpPr>
      <xdr:spPr>
        <a:xfrm>
          <a:off x="4320540" y="2994660"/>
          <a:ext cx="4145280" cy="2606040"/>
        </a:xfrm>
        <a:prstGeom prst="round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480060</xdr:colOff>
      <xdr:row>21</xdr:row>
      <xdr:rowOff>137160</xdr:rowOff>
    </xdr:from>
    <xdr:to>
      <xdr:col>21</xdr:col>
      <xdr:colOff>289560</xdr:colOff>
      <xdr:row>37</xdr:row>
      <xdr:rowOff>15240</xdr:rowOff>
    </xdr:to>
    <xdr:sp macro="" textlink="">
      <xdr:nvSpPr>
        <xdr:cNvPr id="9" name="Rectangle: Rounded Corners 8">
          <a:extLst>
            <a:ext uri="{FF2B5EF4-FFF2-40B4-BE49-F238E27FC236}">
              <a16:creationId xmlns:a16="http://schemas.microsoft.com/office/drawing/2014/main" id="{7E3255EA-6A55-4BA7-BDE8-66A011367AD0}"/>
            </a:ext>
          </a:extLst>
        </xdr:cNvPr>
        <xdr:cNvSpPr/>
      </xdr:nvSpPr>
      <xdr:spPr>
        <a:xfrm>
          <a:off x="9014460" y="2987040"/>
          <a:ext cx="4076700" cy="2560320"/>
        </a:xfrm>
        <a:prstGeom prst="round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175260</xdr:colOff>
      <xdr:row>22</xdr:row>
      <xdr:rowOff>91440</xdr:rowOff>
    </xdr:from>
    <xdr:to>
      <xdr:col>9</xdr:col>
      <xdr:colOff>541020</xdr:colOff>
      <xdr:row>24</xdr:row>
      <xdr:rowOff>144780</xdr:rowOff>
    </xdr:to>
    <xdr:sp macro="" textlink="">
      <xdr:nvSpPr>
        <xdr:cNvPr id="11" name="Rectangle: Rounded Corners 10">
          <a:extLst>
            <a:ext uri="{FF2B5EF4-FFF2-40B4-BE49-F238E27FC236}">
              <a16:creationId xmlns:a16="http://schemas.microsoft.com/office/drawing/2014/main" id="{FE62149C-3EDF-BC5A-49CD-6FF08E3FE6FA}"/>
            </a:ext>
          </a:extLst>
        </xdr:cNvPr>
        <xdr:cNvSpPr/>
      </xdr:nvSpPr>
      <xdr:spPr>
        <a:xfrm>
          <a:off x="4442460" y="3108960"/>
          <a:ext cx="1584960" cy="3886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83820</xdr:colOff>
      <xdr:row>10</xdr:row>
      <xdr:rowOff>91441</xdr:rowOff>
    </xdr:from>
    <xdr:to>
      <xdr:col>3</xdr:col>
      <xdr:colOff>556260</xdr:colOff>
      <xdr:row>22</xdr:row>
      <xdr:rowOff>83821</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3FB16978-D700-DA30-6E1F-1777CF502D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3420" y="1889761"/>
              <a:ext cx="1691640" cy="2004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91440</xdr:colOff>
      <xdr:row>23</xdr:row>
      <xdr:rowOff>106681</xdr:rowOff>
    </xdr:from>
    <xdr:to>
      <xdr:col>3</xdr:col>
      <xdr:colOff>586740</xdr:colOff>
      <xdr:row>36</xdr:row>
      <xdr:rowOff>106681</xdr:rowOff>
    </xdr:to>
    <mc:AlternateContent xmlns:mc="http://schemas.openxmlformats.org/markup-compatibility/2006">
      <mc:Choice xmlns:a14="http://schemas.microsoft.com/office/drawing/2010/main" Requires="a14">
        <xdr:graphicFrame macro="">
          <xdr:nvGraphicFramePr>
            <xdr:cNvPr id="14" name="SKU_Code">
              <a:extLst>
                <a:ext uri="{FF2B5EF4-FFF2-40B4-BE49-F238E27FC236}">
                  <a16:creationId xmlns:a16="http://schemas.microsoft.com/office/drawing/2014/main" id="{9A592383-EA2D-D8E7-3120-527442055B8E}"/>
                </a:ext>
              </a:extLst>
            </xdr:cNvPr>
            <xdr:cNvGraphicFramePr/>
          </xdr:nvGraphicFramePr>
          <xdr:xfrm>
            <a:off x="0" y="0"/>
            <a:ext cx="0" cy="0"/>
          </xdr:xfrm>
          <a:graphic>
            <a:graphicData uri="http://schemas.microsoft.com/office/drawing/2010/slicer">
              <sle:slicer xmlns:sle="http://schemas.microsoft.com/office/drawing/2010/slicer" name="SKU_Code"/>
            </a:graphicData>
          </a:graphic>
        </xdr:graphicFrame>
      </mc:Choice>
      <mc:Fallback>
        <xdr:sp macro="" textlink="">
          <xdr:nvSpPr>
            <xdr:cNvPr id="0" name=""/>
            <xdr:cNvSpPr>
              <a:spLocks noTextEdit="1"/>
            </xdr:cNvSpPr>
          </xdr:nvSpPr>
          <xdr:spPr>
            <a:xfrm>
              <a:off x="701040" y="4084321"/>
              <a:ext cx="1714500" cy="2179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0.03509</cdr:x>
      <cdr:y>0.05316</cdr:y>
    </cdr:from>
    <cdr:to>
      <cdr:x>0.55556</cdr:x>
      <cdr:y>0.17276</cdr:y>
    </cdr:to>
    <cdr:sp macro="" textlink="">
      <cdr:nvSpPr>
        <cdr:cNvPr id="3" name="Rectangle: Rounded Corners 2">
          <a:extLst xmlns:a="http://schemas.openxmlformats.org/drawingml/2006/main">
            <a:ext uri="{FF2B5EF4-FFF2-40B4-BE49-F238E27FC236}">
              <a16:creationId xmlns:a16="http://schemas.microsoft.com/office/drawing/2014/main" id="{5D5AD371-FF53-CD07-CC2F-E6F513F64379}"/>
            </a:ext>
          </a:extLst>
        </cdr:cNvPr>
        <cdr:cNvSpPr/>
      </cdr:nvSpPr>
      <cdr:spPr>
        <a:xfrm xmlns:a="http://schemas.openxmlformats.org/drawingml/2006/main">
          <a:off x="137160" y="121920"/>
          <a:ext cx="2034540" cy="274320"/>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0.07992</cdr:x>
      <cdr:y>0.05316</cdr:y>
    </cdr:from>
    <cdr:to>
      <cdr:x>0.54971</cdr:x>
      <cdr:y>0.19601</cdr:y>
    </cdr:to>
    <cdr:sp macro="" textlink="">
      <cdr:nvSpPr>
        <cdr:cNvPr id="4" name="TextBox 3">
          <a:extLst xmlns:a="http://schemas.openxmlformats.org/drawingml/2006/main">
            <a:ext uri="{FF2B5EF4-FFF2-40B4-BE49-F238E27FC236}">
              <a16:creationId xmlns:a16="http://schemas.microsoft.com/office/drawing/2014/main" id="{C0DA55BB-2177-3C35-3D5B-744E73F73971}"/>
            </a:ext>
          </a:extLst>
        </cdr:cNvPr>
        <cdr:cNvSpPr txBox="1"/>
      </cdr:nvSpPr>
      <cdr:spPr>
        <a:xfrm xmlns:a="http://schemas.openxmlformats.org/drawingml/2006/main">
          <a:off x="312420" y="121920"/>
          <a:ext cx="1836420" cy="3276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Quantity vs SKU-Code</a:t>
          </a:r>
        </a:p>
      </cdr:txBody>
    </cdr:sp>
  </cdr:relSizeAnchor>
</c:userShapes>
</file>

<file path=xl/drawings/drawing3.xml><?xml version="1.0" encoding="utf-8"?>
<c:userShapes xmlns:c="http://schemas.openxmlformats.org/drawingml/2006/chart">
  <cdr:relSizeAnchor xmlns:cdr="http://schemas.openxmlformats.org/drawingml/2006/chartDrawing">
    <cdr:from>
      <cdr:x>0.01003</cdr:x>
      <cdr:y>0.02007</cdr:y>
    </cdr:from>
    <cdr:to>
      <cdr:x>0.38528</cdr:x>
      <cdr:y>0.14381</cdr:y>
    </cdr:to>
    <cdr:sp macro="" textlink="">
      <cdr:nvSpPr>
        <cdr:cNvPr id="2" name="Rectangle: Rounded Corners 1">
          <a:extLst xmlns:a="http://schemas.openxmlformats.org/drawingml/2006/main">
            <a:ext uri="{FF2B5EF4-FFF2-40B4-BE49-F238E27FC236}">
              <a16:creationId xmlns:a16="http://schemas.microsoft.com/office/drawing/2014/main" id="{6C586841-6E1A-5460-EE2C-3A021250C3F8}"/>
            </a:ext>
          </a:extLst>
        </cdr:cNvPr>
        <cdr:cNvSpPr/>
      </cdr:nvSpPr>
      <cdr:spPr>
        <a:xfrm xmlns:a="http://schemas.openxmlformats.org/drawingml/2006/main">
          <a:off x="38100" y="45720"/>
          <a:ext cx="1424940" cy="281940"/>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0.3796</cdr:x>
      <cdr:y>0.29933</cdr:y>
    </cdr:from>
    <cdr:to>
      <cdr:x>0.6204</cdr:x>
      <cdr:y>0.70067</cdr:y>
    </cdr:to>
    <cdr:sp macro="" textlink="">
      <cdr:nvSpPr>
        <cdr:cNvPr id="3" name="TextBox 2">
          <a:extLst xmlns:a="http://schemas.openxmlformats.org/drawingml/2006/main">
            <a:ext uri="{FF2B5EF4-FFF2-40B4-BE49-F238E27FC236}">
              <a16:creationId xmlns:a16="http://schemas.microsoft.com/office/drawing/2014/main" id="{2CDE1D8F-D537-2046-60A0-CB00C58F5258}"/>
            </a:ext>
          </a:extLst>
        </cdr:cNvPr>
        <cdr:cNvSpPr txBox="1"/>
      </cdr:nvSpPr>
      <cdr:spPr>
        <a:xfrm xmlns:a="http://schemas.openxmlformats.org/drawingml/2006/main">
          <a:off x="1441450" y="68199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0.08428</cdr:x>
      <cdr:y>0.05686</cdr:y>
    </cdr:from>
    <cdr:to>
      <cdr:x>0.38328</cdr:x>
      <cdr:y>0.1505</cdr:y>
    </cdr:to>
    <cdr:sp macro="" textlink="">
      <cdr:nvSpPr>
        <cdr:cNvPr id="4" name="TextBox 3">
          <a:extLst xmlns:a="http://schemas.openxmlformats.org/drawingml/2006/main">
            <a:ext uri="{FF2B5EF4-FFF2-40B4-BE49-F238E27FC236}">
              <a16:creationId xmlns:a16="http://schemas.microsoft.com/office/drawing/2014/main" id="{CBFAA494-2320-D36B-F068-F6EE41D5D408}"/>
            </a:ext>
          </a:extLst>
        </cdr:cNvPr>
        <cdr:cNvSpPr txBox="1"/>
      </cdr:nvSpPr>
      <cdr:spPr>
        <a:xfrm xmlns:a="http://schemas.openxmlformats.org/drawingml/2006/main" flipV="1">
          <a:off x="320040" y="129540"/>
          <a:ext cx="1135380" cy="2133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0.05619</cdr:x>
      <cdr:y>0.03344</cdr:y>
    </cdr:from>
    <cdr:to>
      <cdr:x>0.2408</cdr:x>
      <cdr:y>0.13378</cdr:y>
    </cdr:to>
    <cdr:sp macro="" textlink="">
      <cdr:nvSpPr>
        <cdr:cNvPr id="6" name="TextBox 5">
          <a:extLst xmlns:a="http://schemas.openxmlformats.org/drawingml/2006/main">
            <a:ext uri="{FF2B5EF4-FFF2-40B4-BE49-F238E27FC236}">
              <a16:creationId xmlns:a16="http://schemas.microsoft.com/office/drawing/2014/main" id="{C90B76F9-28F5-1F98-1A8A-49CC93FE108E}"/>
            </a:ext>
          </a:extLst>
        </cdr:cNvPr>
        <cdr:cNvSpPr txBox="1"/>
      </cdr:nvSpPr>
      <cdr:spPr>
        <a:xfrm xmlns:a="http://schemas.openxmlformats.org/drawingml/2006/main">
          <a:off x="213360" y="76200"/>
          <a:ext cx="701040" cy="2286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Paid</a:t>
          </a:r>
          <a:r>
            <a:rPr lang="en-US" sz="1100" kern="1200" baseline="0"/>
            <a:t> vs Refund</a:t>
          </a:r>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f" refreshedDate="46092.654871874998" createdVersion="8" refreshedVersion="8" minRefreshableVersion="3" recordCount="40" xr:uid="{591BC301-5494-46E2-A1C1-D49CEFE328B8}">
  <cacheSource type="worksheet">
    <worksheetSource name="Table2"/>
  </cacheSource>
  <cacheFields count="12">
    <cacheField name="Transaction_ID" numFmtId="0">
      <sharedItems count="40">
        <s v="TXN-9901"/>
        <s v="TXN-9902"/>
        <s v="TXN-9903"/>
        <s v="TXN-9904"/>
        <s v="TXN-9905"/>
        <s v="TXN-9906"/>
        <s v="TXN-9907"/>
        <s v="TXN-9908"/>
        <s v="TXN-9909"/>
        <s v="TXN-9910"/>
        <s v="TXN-9911"/>
        <s v="TXN-9912"/>
        <s v="TXN-9913"/>
        <s v="TXN-9914"/>
        <s v="TXN-9915"/>
        <s v="TXN-9916"/>
        <s v="TXN-9917"/>
        <s v="TXN-9918"/>
        <s v="TXN-9919"/>
        <s v="TXN-9920"/>
        <s v="TXN-9921"/>
        <s v="TXN-9922"/>
        <s v="TXN-9923"/>
        <s v="TXN-9924"/>
        <s v="TXN-9925"/>
        <s v="TXN-9926"/>
        <s v="TXN-9927"/>
        <s v="TXN-9928"/>
        <s v="TXN-9929"/>
        <s v="TXN-9930"/>
        <s v="TXN-9931"/>
        <s v="TXN-9932"/>
        <s v="TXN-9933"/>
        <s v="TXN-9934"/>
        <s v="TXN-9935"/>
        <s v="TXN-9936"/>
        <s v="TXN-9937"/>
        <s v="TXN-9938"/>
        <s v="TXN-9939"/>
        <s v="TXN-9940"/>
      </sharedItems>
    </cacheField>
    <cacheField name="Date_Ref" numFmtId="14">
      <sharedItems containsSemiMixedTypes="0" containsNonDate="0" containsDate="1" containsString="0" minDate="2023-12-01T00:00:00" maxDate="2024-01-10T00:00:00" count="39">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4T00:00:00"/>
        <d v="2024-01-05T00:00:00"/>
        <d v="2024-01-06T00:00:00"/>
        <d v="2024-01-07T00:00:00"/>
        <d v="2024-01-08T00:00:00"/>
        <d v="2024-01-09T00:00:00"/>
      </sharedItems>
      <fieldGroup par="11"/>
    </cacheField>
    <cacheField name="Region" numFmtId="0">
      <sharedItems count="4">
        <s v="Kl"/>
        <s v="Selangor"/>
        <s v="Penang"/>
        <s v="Johor"/>
      </sharedItems>
    </cacheField>
    <cacheField name="Branch_Manager" numFmtId="0">
      <sharedItems/>
    </cacheField>
    <cacheField name="SKU_Code" numFmtId="0">
      <sharedItems count="4">
        <s v="LAP-99"/>
        <s v="MOUSE-01"/>
        <s v="MONITOR-B"/>
        <s v="LAP-90"/>
      </sharedItems>
    </cacheField>
    <cacheField name="Qty" numFmtId="0">
      <sharedItems containsSemiMixedTypes="0" containsString="0" containsNumber="1" containsInteger="1" minValue="-10" maxValue="100"/>
    </cacheField>
    <cacheField name="Unit_Price" numFmtId="164">
      <sharedItems containsSemiMixedTypes="0" containsString="0" containsNumber="1" containsInteger="1" minValue="40" maxValue="4500"/>
    </cacheField>
    <cacheField name="Status" numFmtId="0">
      <sharedItems count="3">
        <s v="Paid"/>
        <s v="Refunded"/>
        <s v="Pending"/>
      </sharedItems>
    </cacheField>
    <cacheField name="Revenue" numFmtId="164">
      <sharedItems containsSemiMixedTypes="0" containsString="0" containsNumber="1" containsInteger="1" minValue="-4500" maxValue="67500"/>
    </cacheField>
    <cacheField name="Months (Date_Ref)" numFmtId="0" databaseField="0">
      <fieldGroup base="1">
        <rangePr groupBy="months" startDate="2023-12-01T00:00:00" endDate="2024-01-10T00:00:00"/>
        <groupItems count="14">
          <s v="&lt;01-12-23"/>
          <s v="Jan"/>
          <s v="Feb"/>
          <s v="Mar"/>
          <s v="Apr"/>
          <s v="May"/>
          <s v="Jun"/>
          <s v="Jul"/>
          <s v="Aug"/>
          <s v="Sep"/>
          <s v="Oct"/>
          <s v="Nov"/>
          <s v="Dec"/>
          <s v="&gt;10-01-24"/>
        </groupItems>
      </fieldGroup>
    </cacheField>
    <cacheField name="Quarters (Date_Ref)" numFmtId="0" databaseField="0">
      <fieldGroup base="1">
        <rangePr groupBy="quarters" startDate="2023-12-01T00:00:00" endDate="2024-01-10T00:00:00"/>
        <groupItems count="6">
          <s v="&lt;01-12-23"/>
          <s v="Qtr1"/>
          <s v="Qtr2"/>
          <s v="Qtr3"/>
          <s v="Qtr4"/>
          <s v="&gt;10-01-24"/>
        </groupItems>
      </fieldGroup>
    </cacheField>
    <cacheField name="Years (Date_Ref)" numFmtId="0" databaseField="0">
      <fieldGroup base="1">
        <rangePr groupBy="years" startDate="2023-12-01T00:00:00" endDate="2024-01-10T00:00:00"/>
        <groupItems count="4">
          <s v="&lt;01-12-23"/>
          <s v="2023"/>
          <s v="2024"/>
          <s v="&gt;10-01-24"/>
        </groupItems>
      </fieldGroup>
    </cacheField>
  </cacheFields>
  <extLst>
    <ext xmlns:x14="http://schemas.microsoft.com/office/spreadsheetml/2009/9/main" uri="{725AE2AE-9491-48be-B2B4-4EB974FC3084}">
      <x14:pivotCacheDefinition pivotCacheId="2017870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s v="Kevin Tan"/>
    <x v="0"/>
    <n v="10"/>
    <n v="4500"/>
    <x v="0"/>
    <n v="45000"/>
  </r>
  <r>
    <x v="1"/>
    <x v="1"/>
    <x v="1"/>
    <s v="Siti Binti Abu"/>
    <x v="1"/>
    <n v="-2"/>
    <n v="50"/>
    <x v="1"/>
    <n v="-100"/>
  </r>
  <r>
    <x v="2"/>
    <x v="2"/>
    <x v="0"/>
    <s v="Kevin Tan"/>
    <x v="0"/>
    <n v="5"/>
    <n v="4500"/>
    <x v="0"/>
    <n v="22500"/>
  </r>
  <r>
    <x v="3"/>
    <x v="3"/>
    <x v="2"/>
    <s v="Lim Wei"/>
    <x v="2"/>
    <n v="0"/>
    <n v="850"/>
    <x v="2"/>
    <n v="0"/>
  </r>
  <r>
    <x v="4"/>
    <x v="4"/>
    <x v="0"/>
    <s v="Kevin Tan"/>
    <x v="3"/>
    <n v="12"/>
    <n v="4500"/>
    <x v="0"/>
    <n v="54000"/>
  </r>
  <r>
    <x v="5"/>
    <x v="5"/>
    <x v="3"/>
    <s v="Ali B. Rahim"/>
    <x v="1"/>
    <n v="50"/>
    <n v="45"/>
    <x v="0"/>
    <n v="2250"/>
  </r>
  <r>
    <x v="6"/>
    <x v="6"/>
    <x v="1"/>
    <s v="Siti Binti Abu"/>
    <x v="0"/>
    <n v="2"/>
    <n v="4500"/>
    <x v="0"/>
    <n v="9000"/>
  </r>
  <r>
    <x v="7"/>
    <x v="7"/>
    <x v="2"/>
    <s v="Lim Wei"/>
    <x v="2"/>
    <n v="-1"/>
    <n v="850"/>
    <x v="1"/>
    <n v="-850"/>
  </r>
  <r>
    <x v="8"/>
    <x v="8"/>
    <x v="0"/>
    <s v="Kevin Tan"/>
    <x v="1"/>
    <n v="100"/>
    <n v="45"/>
    <x v="0"/>
    <n v="4500"/>
  </r>
  <r>
    <x v="9"/>
    <x v="9"/>
    <x v="3"/>
    <s v="Ali B. Rahim"/>
    <x v="3"/>
    <n v="3"/>
    <n v="4500"/>
    <x v="0"/>
    <n v="13500"/>
  </r>
  <r>
    <x v="10"/>
    <x v="10"/>
    <x v="1"/>
    <s v="Siti Binti Abu"/>
    <x v="1"/>
    <n v="25"/>
    <n v="45"/>
    <x v="0"/>
    <n v="1125"/>
  </r>
  <r>
    <x v="11"/>
    <x v="11"/>
    <x v="3"/>
    <s v="Ali B. Rahim"/>
    <x v="0"/>
    <n v="1"/>
    <n v="4500"/>
    <x v="0"/>
    <n v="4500"/>
  </r>
  <r>
    <x v="12"/>
    <x v="12"/>
    <x v="0"/>
    <s v="Kevin Tan"/>
    <x v="2"/>
    <n v="-5"/>
    <n v="850"/>
    <x v="1"/>
    <n v="-4250"/>
  </r>
  <r>
    <x v="13"/>
    <x v="13"/>
    <x v="2"/>
    <s v="Lim Wei"/>
    <x v="3"/>
    <n v="8"/>
    <n v="4500"/>
    <x v="0"/>
    <n v="36000"/>
  </r>
  <r>
    <x v="14"/>
    <x v="14"/>
    <x v="0"/>
    <s v="Kevin Tan"/>
    <x v="1"/>
    <n v="10"/>
    <n v="55"/>
    <x v="0"/>
    <n v="550"/>
  </r>
  <r>
    <x v="15"/>
    <x v="15"/>
    <x v="1"/>
    <s v="Siti Binti Abu"/>
    <x v="2"/>
    <n v="4"/>
    <n v="850"/>
    <x v="0"/>
    <n v="3400"/>
  </r>
  <r>
    <x v="16"/>
    <x v="16"/>
    <x v="0"/>
    <s v="Kevin Tan"/>
    <x v="0"/>
    <n v="15"/>
    <n v="4500"/>
    <x v="0"/>
    <n v="67500"/>
  </r>
  <r>
    <x v="17"/>
    <x v="17"/>
    <x v="3"/>
    <s v="Ali B. Rahim"/>
    <x v="1"/>
    <n v="100"/>
    <n v="40"/>
    <x v="0"/>
    <n v="4000"/>
  </r>
  <r>
    <x v="18"/>
    <x v="18"/>
    <x v="2"/>
    <s v="Lim Wei"/>
    <x v="3"/>
    <n v="2"/>
    <n v="4500"/>
    <x v="0"/>
    <n v="9000"/>
  </r>
  <r>
    <x v="19"/>
    <x v="19"/>
    <x v="0"/>
    <s v="Kevin Tan"/>
    <x v="2"/>
    <n v="0"/>
    <n v="850"/>
    <x v="2"/>
    <n v="0"/>
  </r>
  <r>
    <x v="20"/>
    <x v="20"/>
    <x v="1"/>
    <s v="Siti Binti Abu"/>
    <x v="0"/>
    <n v="5"/>
    <n v="4500"/>
    <x v="0"/>
    <n v="22500"/>
  </r>
  <r>
    <x v="21"/>
    <x v="21"/>
    <x v="3"/>
    <s v="Ali B. Rahim"/>
    <x v="1"/>
    <n v="12"/>
    <n v="45"/>
    <x v="0"/>
    <n v="540"/>
  </r>
  <r>
    <x v="22"/>
    <x v="22"/>
    <x v="0"/>
    <s v="Kevin Tan"/>
    <x v="3"/>
    <n v="-1"/>
    <n v="4500"/>
    <x v="1"/>
    <n v="-4500"/>
  </r>
  <r>
    <x v="23"/>
    <x v="23"/>
    <x v="2"/>
    <s v="Lim Wei"/>
    <x v="2"/>
    <n v="20"/>
    <n v="850"/>
    <x v="0"/>
    <n v="17000"/>
  </r>
  <r>
    <x v="24"/>
    <x v="24"/>
    <x v="0"/>
    <s v="Kevin Tan"/>
    <x v="1"/>
    <n v="30"/>
    <n v="45"/>
    <x v="0"/>
    <n v="1350"/>
  </r>
  <r>
    <x v="25"/>
    <x v="25"/>
    <x v="1"/>
    <s v="Siti Binti Abu"/>
    <x v="0"/>
    <n v="2"/>
    <n v="4500"/>
    <x v="0"/>
    <n v="9000"/>
  </r>
  <r>
    <x v="26"/>
    <x v="26"/>
    <x v="3"/>
    <s v="Ali B. Rahim"/>
    <x v="2"/>
    <n v="6"/>
    <n v="850"/>
    <x v="0"/>
    <n v="5100"/>
  </r>
  <r>
    <x v="27"/>
    <x v="27"/>
    <x v="2"/>
    <s v="Lim Wei"/>
    <x v="3"/>
    <n v="10"/>
    <n v="4500"/>
    <x v="0"/>
    <n v="45000"/>
  </r>
  <r>
    <x v="28"/>
    <x v="28"/>
    <x v="0"/>
    <s v="Kevin Tan"/>
    <x v="1"/>
    <n v="50"/>
    <n v="45"/>
    <x v="0"/>
    <n v="2250"/>
  </r>
  <r>
    <x v="29"/>
    <x v="29"/>
    <x v="1"/>
    <s v="Siti Binti Abu"/>
    <x v="0"/>
    <n v="1"/>
    <n v="4500"/>
    <x v="0"/>
    <n v="4500"/>
  </r>
  <r>
    <x v="30"/>
    <x v="30"/>
    <x v="0"/>
    <s v="Kevin Tan"/>
    <x v="2"/>
    <n v="15"/>
    <n v="850"/>
    <x v="0"/>
    <n v="12750"/>
  </r>
  <r>
    <x v="31"/>
    <x v="31"/>
    <x v="3"/>
    <s v="Ali B. Rahim"/>
    <x v="3"/>
    <n v="4"/>
    <n v="4500"/>
    <x v="0"/>
    <n v="18000"/>
  </r>
  <r>
    <x v="32"/>
    <x v="32"/>
    <x v="2"/>
    <s v="Lim Wei"/>
    <x v="1"/>
    <n v="-10"/>
    <n v="45"/>
    <x v="1"/>
    <n v="-450"/>
  </r>
  <r>
    <x v="33"/>
    <x v="33"/>
    <x v="0"/>
    <s v="Kevin Tan"/>
    <x v="0"/>
    <n v="7"/>
    <n v="4500"/>
    <x v="0"/>
    <n v="31500"/>
  </r>
  <r>
    <x v="34"/>
    <x v="33"/>
    <x v="1"/>
    <s v="Siti Binti Abu"/>
    <x v="2"/>
    <n v="2"/>
    <n v="850"/>
    <x v="0"/>
    <n v="1700"/>
  </r>
  <r>
    <x v="35"/>
    <x v="34"/>
    <x v="3"/>
    <s v="Ali B. Rahim"/>
    <x v="3"/>
    <n v="11"/>
    <n v="4500"/>
    <x v="0"/>
    <n v="49500"/>
  </r>
  <r>
    <x v="36"/>
    <x v="35"/>
    <x v="2"/>
    <s v="Lim Wei"/>
    <x v="1"/>
    <n v="80"/>
    <n v="40"/>
    <x v="0"/>
    <n v="3200"/>
  </r>
  <r>
    <x v="37"/>
    <x v="36"/>
    <x v="0"/>
    <s v="Kevin Tan"/>
    <x v="0"/>
    <n v="3"/>
    <n v="4500"/>
    <x v="0"/>
    <n v="13500"/>
  </r>
  <r>
    <x v="38"/>
    <x v="37"/>
    <x v="1"/>
    <s v="Siti Binti Abu"/>
    <x v="2"/>
    <n v="0"/>
    <n v="850"/>
    <x v="2"/>
    <n v="0"/>
  </r>
  <r>
    <x v="39"/>
    <x v="38"/>
    <x v="3"/>
    <s v="Ali B. Rahim"/>
    <x v="3"/>
    <n v="5"/>
    <n v="4500"/>
    <x v="0"/>
    <n v="22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328D4B-D2DF-41DF-AA2D-D896F9DE3562}"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tatus">
  <location ref="E3:F7" firstHeaderRow="1" firstDataRow="1" firstDataCol="1"/>
  <pivotFields count="12">
    <pivotField dataField="1"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showAll="0">
      <items count="5">
        <item x="3"/>
        <item x="0"/>
        <item x="2"/>
        <item x="1"/>
        <item t="default"/>
      </items>
    </pivotField>
    <pivotField showAll="0"/>
    <pivotField showAll="0">
      <items count="5">
        <item x="3"/>
        <item x="0"/>
        <item x="2"/>
        <item x="1"/>
        <item t="default"/>
      </items>
    </pivotField>
    <pivotField showAll="0"/>
    <pivotField numFmtId="164" showAll="0"/>
    <pivotField axis="axisRow" showAll="0">
      <items count="4">
        <item x="0"/>
        <item x="2"/>
        <item x="1"/>
        <item t="default"/>
      </items>
    </pivotField>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4">
    <i>
      <x/>
    </i>
    <i>
      <x v="1"/>
    </i>
    <i>
      <x v="2"/>
    </i>
    <i t="grand">
      <x/>
    </i>
  </rowItems>
  <colItems count="1">
    <i/>
  </colItems>
  <dataFields count="1">
    <dataField name="Count of Transaction_ID" fld="0"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E28724-D6E6-43FF-A0B6-EA14F8EFC08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KU_Code">
  <location ref="A17:B22" firstHeaderRow="1" firstDataRow="1" firstDataCol="1"/>
  <pivotFields count="12">
    <pivotField showAll="0"/>
    <pivotField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showAll="0">
      <items count="5">
        <item x="3"/>
        <item x="0"/>
        <item x="2"/>
        <item x="1"/>
        <item t="default"/>
      </items>
    </pivotField>
    <pivotField showAll="0"/>
    <pivotField axis="axisRow" showAll="0">
      <items count="5">
        <item x="3"/>
        <item x="0"/>
        <item x="2"/>
        <item x="1"/>
        <item t="default"/>
      </items>
    </pivotField>
    <pivotField dataField="1" showAll="0"/>
    <pivotField numFmtId="164"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5">
    <i>
      <x/>
    </i>
    <i>
      <x v="1"/>
    </i>
    <i>
      <x v="2"/>
    </i>
    <i>
      <x v="3"/>
    </i>
    <i t="grand">
      <x/>
    </i>
  </rowItems>
  <colItems count="1">
    <i/>
  </colItems>
  <dataFields count="1">
    <dataField name="Sum of Qty" fld="5"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89B24A-A386-42ED-A93D-66CE7202FDE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Year">
  <location ref="A11:B14" firstHeaderRow="1" firstDataRow="1" firstDataCol="1"/>
  <pivotFields count="12">
    <pivotField showAll="0"/>
    <pivotField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showAll="0">
      <items count="5">
        <item x="3"/>
        <item x="0"/>
        <item x="2"/>
        <item x="1"/>
        <item t="default"/>
      </items>
    </pivotField>
    <pivotField showAll="0"/>
    <pivotField showAll="0">
      <items count="5">
        <item x="3"/>
        <item x="0"/>
        <item x="2"/>
        <item x="1"/>
        <item t="default"/>
      </items>
    </pivotField>
    <pivotField showAll="0"/>
    <pivotField numFmtId="164"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11"/>
  </rowFields>
  <rowItems count="3">
    <i>
      <x v="1"/>
    </i>
    <i>
      <x v="2"/>
    </i>
    <i t="grand">
      <x/>
    </i>
  </rowItems>
  <colItems count="1">
    <i/>
  </colItems>
  <dataFields count="1">
    <dataField name="Sum of Revenue" fld="8" baseField="0" baseItem="0" numFmtId="164"/>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C72EDF-3075-43DB-93CC-6003A29DDAC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8" firstHeaderRow="1" firstDataRow="1" firstDataCol="1"/>
  <pivotFields count="12">
    <pivotField showAll="0"/>
    <pivotField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axis="axisRow" showAll="0">
      <items count="5">
        <item x="3"/>
        <item x="0"/>
        <item x="2"/>
        <item x="1"/>
        <item t="default"/>
      </items>
    </pivotField>
    <pivotField showAll="0"/>
    <pivotField showAll="0">
      <items count="5">
        <item x="3"/>
        <item x="0"/>
        <item x="2"/>
        <item x="1"/>
        <item t="default"/>
      </items>
    </pivotField>
    <pivotField showAll="0"/>
    <pivotField numFmtId="164"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Sum of Revenue" fld="8"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119511-F1FC-42EB-ACD4-D89C9C21336B}" sourceName="Region">
  <pivotTables>
    <pivotTable tabId="5" name="PivotTable3"/>
    <pivotTable tabId="5" name="PivotTable1"/>
    <pivotTable tabId="5" name="PivotTable2"/>
    <pivotTable tabId="5" name="PivotTable4"/>
  </pivotTables>
  <data>
    <tabular pivotCacheId="2017870884">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_Code" xr10:uid="{190DBB2D-332C-4109-ACF0-753E31E3BC6B}" sourceName="SKU_Code">
  <pivotTables>
    <pivotTable tabId="5" name="PivotTable2"/>
    <pivotTable tabId="5" name="PivotTable1"/>
    <pivotTable tabId="5" name="PivotTable3"/>
    <pivotTable tabId="5" name="PivotTable4"/>
  </pivotTables>
  <data>
    <tabular pivotCacheId="2017870884">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96BB00E-DD1E-41A7-ADF2-5A10BCE24A18}" cache="Slicer_Region" caption="Region" rowHeight="209550"/>
  <slicer name="SKU_Code" xr10:uid="{035D565C-4748-45BE-9A3C-1ACC64E06A00}" cache="Slicer_SKU_Code" caption="SKU_Code"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E6ED06-160E-4266-9A40-ADFEBB124211}" name="Table1" displayName="Table1" ref="B5:D13" totalsRowShown="0" headerRowDxfId="4" dataDxfId="3">
  <autoFilter ref="B5:D13" xr:uid="{CDE6ED06-160E-4266-9A40-ADFEBB124211}"/>
  <tableColumns count="3">
    <tableColumn id="1" xr3:uid="{DFEF2CFA-1786-4390-A45A-69C40A1F362F}" name="Field Name" dataDxfId="2"/>
    <tableColumn id="2" xr3:uid="{422374E7-60CF-4922-A841-8928FA440416}" name="Description" dataDxfId="1"/>
    <tableColumn id="3" xr3:uid="{00ECA815-6DEF-4967-BB35-4EE6030782F7}" name="Key Data Challenges (Traps)" dataDxfId="0"/>
  </tableColumns>
  <tableStyleInfo name="TableStyleDark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281F70-8482-4840-A262-1D0C5DCFF25A}" name="Table2" displayName="Table2" ref="A3:I44" totalsRowCount="1" headerRowDxfId="24" dataDxfId="23">
  <autoFilter ref="A3:I43" xr:uid="{43281F70-8482-4840-A262-1D0C5DCFF25A}"/>
  <tableColumns count="9">
    <tableColumn id="1" xr3:uid="{CD40B0CA-D81E-4159-81D9-C5DAE0575C7F}" name="Transaction_ID" dataDxfId="22" totalsRowDxfId="21"/>
    <tableColumn id="2" xr3:uid="{775F84E6-FB75-4711-8D7A-6A0E83C941C0}" name="Date_Ref" dataDxfId="20" totalsRowDxfId="19"/>
    <tableColumn id="3" xr3:uid="{ACA56E46-27E8-478E-9DD9-E120596F41B0}" name="Region" dataDxfId="18" totalsRowDxfId="17"/>
    <tableColumn id="4" xr3:uid="{157BB41E-E710-425E-90DC-05FADCDD1FA2}" name="Branch_Manager" dataDxfId="16" totalsRowDxfId="15"/>
    <tableColumn id="5" xr3:uid="{AFC73EFE-F539-47D0-9D67-233E26283F37}" name="SKU_Code" dataDxfId="14" totalsRowDxfId="13"/>
    <tableColumn id="6" xr3:uid="{D89EE4A1-4BD9-46A8-8A85-95A1ED5B43D4}" name="Qty" dataDxfId="12" totalsRowDxfId="11"/>
    <tableColumn id="7" xr3:uid="{D2335761-8B27-43F7-AD18-9CC195ACD1C1}" name="Unit_Price" dataDxfId="10" totalsRowDxfId="9"/>
    <tableColumn id="8" xr3:uid="{7C660247-0B56-4EFB-A3C6-AE1451C034D2}" name="Status" dataDxfId="8" totalsRowDxfId="7"/>
    <tableColumn id="9" xr3:uid="{8063B682-0A23-42E1-8B3C-78AA927B7185}" name="Revenue" totalsRowFunction="sum" dataDxfId="6" totalsRowDxfId="5">
      <calculatedColumnFormula>Table2[[#This Row],[Qty]]*Table2[[#This Row],[Unit_Price]]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3"/>
  <sheetViews>
    <sheetView showGridLines="0" topLeftCell="A2" workbookViewId="0">
      <selection activeCell="E6" sqref="E6"/>
    </sheetView>
  </sheetViews>
  <sheetFormatPr defaultColWidth="12.5546875" defaultRowHeight="15.75" customHeight="1"/>
  <cols>
    <col min="2" max="4" width="34.33203125" style="6" customWidth="1"/>
  </cols>
  <sheetData>
    <row r="1" spans="1:4" ht="15.75" customHeight="1">
      <c r="A1" s="3"/>
    </row>
    <row r="2" spans="1:4" ht="46.5" customHeight="1">
      <c r="A2" s="5"/>
      <c r="B2" s="7" t="s">
        <v>69</v>
      </c>
    </row>
    <row r="3" spans="1:4" ht="46.5" customHeight="1">
      <c r="A3" s="5"/>
      <c r="B3" s="8" t="s">
        <v>48</v>
      </c>
    </row>
    <row r="4" spans="1:4" ht="46.5" customHeight="1">
      <c r="A4" s="4"/>
      <c r="B4" s="8" t="s">
        <v>49</v>
      </c>
    </row>
    <row r="5" spans="1:4" ht="46.5" customHeight="1">
      <c r="B5" s="13" t="s">
        <v>53</v>
      </c>
      <c r="C5" s="13" t="s">
        <v>50</v>
      </c>
      <c r="D5" s="13" t="s">
        <v>54</v>
      </c>
    </row>
    <row r="6" spans="1:4" ht="46.5" customHeight="1">
      <c r="B6" s="9" t="s">
        <v>0</v>
      </c>
      <c r="C6" s="10" t="s">
        <v>55</v>
      </c>
      <c r="D6" s="10" t="s">
        <v>56</v>
      </c>
    </row>
    <row r="7" spans="1:4" ht="46.5" customHeight="1">
      <c r="B7" s="9" t="s">
        <v>1</v>
      </c>
      <c r="C7" s="10" t="s">
        <v>57</v>
      </c>
      <c r="D7" s="10" t="s">
        <v>58</v>
      </c>
    </row>
    <row r="8" spans="1:4" ht="46.5" customHeight="1">
      <c r="B8" s="9" t="s">
        <v>2</v>
      </c>
      <c r="C8" s="10" t="s">
        <v>59</v>
      </c>
      <c r="D8" s="10" t="s">
        <v>60</v>
      </c>
    </row>
    <row r="9" spans="1:4" ht="46.5" customHeight="1">
      <c r="B9" s="9" t="s">
        <v>3</v>
      </c>
      <c r="C9" s="10" t="s">
        <v>61</v>
      </c>
      <c r="D9" s="10" t="s">
        <v>62</v>
      </c>
    </row>
    <row r="10" spans="1:4" ht="46.5" customHeight="1">
      <c r="B10" s="9" t="s">
        <v>4</v>
      </c>
      <c r="C10" s="10" t="s">
        <v>63</v>
      </c>
      <c r="D10" s="10" t="s">
        <v>64</v>
      </c>
    </row>
    <row r="11" spans="1:4" ht="46.5" customHeight="1">
      <c r="B11" s="9" t="s">
        <v>5</v>
      </c>
      <c r="C11" s="10" t="s">
        <v>65</v>
      </c>
      <c r="D11" s="10" t="s">
        <v>66</v>
      </c>
    </row>
    <row r="12" spans="1:4" ht="46.5" customHeight="1">
      <c r="B12" s="9" t="s">
        <v>6</v>
      </c>
      <c r="C12" s="10" t="s">
        <v>67</v>
      </c>
      <c r="D12" s="10" t="s">
        <v>68</v>
      </c>
    </row>
    <row r="13" spans="1:4" ht="46.5" customHeight="1">
      <c r="B13" s="11" t="s">
        <v>7</v>
      </c>
      <c r="C13" s="12" t="s">
        <v>51</v>
      </c>
      <c r="D13" s="12" t="s">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44"/>
  <sheetViews>
    <sheetView topLeftCell="A7" workbookViewId="0">
      <selection activeCell="B49" sqref="B49"/>
    </sheetView>
  </sheetViews>
  <sheetFormatPr defaultColWidth="12.5546875" defaultRowHeight="15.75" customHeight="1"/>
  <cols>
    <col min="1" max="1" width="16" customWidth="1"/>
    <col min="2" max="2" width="28.44140625" style="23" bestFit="1" customWidth="1"/>
    <col min="4" max="4" width="17.6640625" customWidth="1"/>
    <col min="7" max="7" width="12.5546875" style="17"/>
    <col min="9" max="9" width="15.77734375" bestFit="1" customWidth="1"/>
  </cols>
  <sheetData>
    <row r="1" spans="1:9" ht="15.75" customHeight="1">
      <c r="A1" s="15" t="s">
        <v>70</v>
      </c>
      <c r="B1" s="20"/>
    </row>
    <row r="3" spans="1:9" ht="13.2">
      <c r="A3" s="1" t="s">
        <v>0</v>
      </c>
      <c r="B3" s="21" t="s">
        <v>1</v>
      </c>
      <c r="C3" s="1" t="s">
        <v>2</v>
      </c>
      <c r="D3" s="1" t="s">
        <v>3</v>
      </c>
      <c r="E3" s="1" t="s">
        <v>4</v>
      </c>
      <c r="F3" s="1" t="s">
        <v>5</v>
      </c>
      <c r="G3" s="18" t="s">
        <v>6</v>
      </c>
      <c r="H3" s="14" t="s">
        <v>7</v>
      </c>
      <c r="I3" s="14" t="s">
        <v>86</v>
      </c>
    </row>
    <row r="4" spans="1:9" ht="15.6">
      <c r="A4" s="1" t="s">
        <v>8</v>
      </c>
      <c r="B4" s="21">
        <v>45261</v>
      </c>
      <c r="C4" s="1" t="s">
        <v>84</v>
      </c>
      <c r="D4" s="14" t="s">
        <v>71</v>
      </c>
      <c r="E4" s="1" t="s">
        <v>9</v>
      </c>
      <c r="F4" s="1">
        <v>10</v>
      </c>
      <c r="G4" s="18">
        <v>4500</v>
      </c>
      <c r="H4" s="1" t="s">
        <v>10</v>
      </c>
      <c r="I4" s="24">
        <f>Table2[[#This Row],[Qty]]*Table2[[#This Row],[Unit_Price]]</f>
        <v>45000</v>
      </c>
    </row>
    <row r="5" spans="1:9" ht="13.2">
      <c r="A5" s="1" t="s">
        <v>72</v>
      </c>
      <c r="B5" s="21">
        <v>45262</v>
      </c>
      <c r="C5" s="1" t="s">
        <v>85</v>
      </c>
      <c r="D5" s="1" t="s">
        <v>32</v>
      </c>
      <c r="E5" s="1" t="s">
        <v>11</v>
      </c>
      <c r="F5" s="1">
        <v>-2</v>
      </c>
      <c r="G5" s="18">
        <v>50</v>
      </c>
      <c r="H5" s="1" t="s">
        <v>12</v>
      </c>
      <c r="I5" s="16">
        <f>Table2[[#This Row],[Qty]]*Table2[[#This Row],[Unit_Price]]</f>
        <v>-100</v>
      </c>
    </row>
    <row r="6" spans="1:9" ht="13.2">
      <c r="A6" s="1" t="s">
        <v>13</v>
      </c>
      <c r="B6" s="21">
        <v>45263</v>
      </c>
      <c r="C6" s="1" t="s">
        <v>84</v>
      </c>
      <c r="D6" s="14" t="s">
        <v>71</v>
      </c>
      <c r="E6" s="1" t="s">
        <v>9</v>
      </c>
      <c r="F6" s="1">
        <v>5</v>
      </c>
      <c r="G6" s="18">
        <v>4500</v>
      </c>
      <c r="H6" s="1" t="s">
        <v>10</v>
      </c>
      <c r="I6" s="16">
        <f>Table2[[#This Row],[Qty]]*Table2[[#This Row],[Unit_Price]]</f>
        <v>22500</v>
      </c>
    </row>
    <row r="7" spans="1:9" ht="13.2">
      <c r="A7" s="1" t="s">
        <v>14</v>
      </c>
      <c r="B7" s="21">
        <v>45264</v>
      </c>
      <c r="C7" s="1" t="s">
        <v>15</v>
      </c>
      <c r="D7" s="1" t="s">
        <v>35</v>
      </c>
      <c r="E7" s="1" t="s">
        <v>16</v>
      </c>
      <c r="F7" s="1">
        <v>0</v>
      </c>
      <c r="G7" s="18">
        <v>850</v>
      </c>
      <c r="H7" s="1" t="s">
        <v>17</v>
      </c>
      <c r="I7" s="16">
        <f>Table2[[#This Row],[Qty]]*Table2[[#This Row],[Unit_Price]]</f>
        <v>0</v>
      </c>
    </row>
    <row r="8" spans="1:9" ht="13.2">
      <c r="A8" s="1" t="s">
        <v>18</v>
      </c>
      <c r="B8" s="21">
        <v>45265</v>
      </c>
      <c r="C8" s="1" t="s">
        <v>84</v>
      </c>
      <c r="D8" s="14" t="s">
        <v>71</v>
      </c>
      <c r="E8" s="1" t="s">
        <v>19</v>
      </c>
      <c r="F8" s="1">
        <v>12</v>
      </c>
      <c r="G8" s="18">
        <v>4500</v>
      </c>
      <c r="H8" s="1" t="s">
        <v>10</v>
      </c>
      <c r="I8" s="16">
        <f>Table2[[#This Row],[Qty]]*Table2[[#This Row],[Unit_Price]]</f>
        <v>54000</v>
      </c>
    </row>
    <row r="9" spans="1:9" ht="13.2">
      <c r="A9" s="1" t="s">
        <v>73</v>
      </c>
      <c r="B9" s="21">
        <v>45266</v>
      </c>
      <c r="C9" s="1" t="s">
        <v>24</v>
      </c>
      <c r="D9" s="1" t="s">
        <v>33</v>
      </c>
      <c r="E9" s="1" t="s">
        <v>11</v>
      </c>
      <c r="F9" s="1">
        <v>50</v>
      </c>
      <c r="G9" s="18">
        <v>45</v>
      </c>
      <c r="H9" s="1" t="s">
        <v>10</v>
      </c>
      <c r="I9" s="16">
        <f>Table2[[#This Row],[Qty]]*Table2[[#This Row],[Unit_Price]]</f>
        <v>2250</v>
      </c>
    </row>
    <row r="10" spans="1:9" ht="13.2">
      <c r="A10" s="1" t="s">
        <v>20</v>
      </c>
      <c r="B10" s="21">
        <v>45267</v>
      </c>
      <c r="C10" s="1" t="s">
        <v>85</v>
      </c>
      <c r="D10" s="1" t="s">
        <v>32</v>
      </c>
      <c r="E10" s="1" t="s">
        <v>9</v>
      </c>
      <c r="F10" s="1">
        <v>2</v>
      </c>
      <c r="G10" s="18">
        <v>4500</v>
      </c>
      <c r="H10" s="1" t="s">
        <v>10</v>
      </c>
      <c r="I10" s="16">
        <f>Table2[[#This Row],[Qty]]*Table2[[#This Row],[Unit_Price]]</f>
        <v>9000</v>
      </c>
    </row>
    <row r="11" spans="1:9" ht="13.2">
      <c r="A11" s="1" t="s">
        <v>74</v>
      </c>
      <c r="B11" s="21">
        <v>45268</v>
      </c>
      <c r="C11" s="1" t="s">
        <v>15</v>
      </c>
      <c r="D11" s="1" t="s">
        <v>35</v>
      </c>
      <c r="E11" s="1" t="s">
        <v>16</v>
      </c>
      <c r="F11" s="1">
        <v>-1</v>
      </c>
      <c r="G11" s="18">
        <v>850</v>
      </c>
      <c r="H11" s="1" t="s">
        <v>12</v>
      </c>
      <c r="I11" s="16">
        <f>Table2[[#This Row],[Qty]]*Table2[[#This Row],[Unit_Price]]</f>
        <v>-850</v>
      </c>
    </row>
    <row r="12" spans="1:9" ht="13.2">
      <c r="A12" s="1" t="s">
        <v>21</v>
      </c>
      <c r="B12" s="21">
        <v>45269</v>
      </c>
      <c r="C12" s="1" t="s">
        <v>84</v>
      </c>
      <c r="D12" s="14" t="s">
        <v>71</v>
      </c>
      <c r="E12" s="1" t="s">
        <v>11</v>
      </c>
      <c r="F12" s="1">
        <v>100</v>
      </c>
      <c r="G12" s="18">
        <v>45</v>
      </c>
      <c r="H12" s="1" t="s">
        <v>10</v>
      </c>
      <c r="I12" s="16">
        <f>Table2[[#This Row],[Qty]]*Table2[[#This Row],[Unit_Price]]</f>
        <v>4500</v>
      </c>
    </row>
    <row r="13" spans="1:9" ht="13.2">
      <c r="A13" s="1" t="s">
        <v>22</v>
      </c>
      <c r="B13" s="21">
        <v>45270</v>
      </c>
      <c r="C13" s="1" t="s">
        <v>24</v>
      </c>
      <c r="D13" s="1" t="s">
        <v>33</v>
      </c>
      <c r="E13" s="1" t="s">
        <v>19</v>
      </c>
      <c r="F13" s="1">
        <v>3</v>
      </c>
      <c r="G13" s="18">
        <v>4500</v>
      </c>
      <c r="H13" s="1" t="s">
        <v>10</v>
      </c>
      <c r="I13" s="16">
        <f>Table2[[#This Row],[Qty]]*Table2[[#This Row],[Unit_Price]]</f>
        <v>13500</v>
      </c>
    </row>
    <row r="14" spans="1:9" ht="13.2">
      <c r="A14" s="2" t="s">
        <v>23</v>
      </c>
      <c r="B14" s="22">
        <v>45271</v>
      </c>
      <c r="C14" s="2" t="s">
        <v>85</v>
      </c>
      <c r="D14" s="2" t="s">
        <v>32</v>
      </c>
      <c r="E14" s="2" t="s">
        <v>11</v>
      </c>
      <c r="F14" s="2">
        <v>25</v>
      </c>
      <c r="G14" s="19">
        <v>45</v>
      </c>
      <c r="H14" s="2" t="s">
        <v>10</v>
      </c>
      <c r="I14" s="16">
        <f>Table2[[#This Row],[Qty]]*Table2[[#This Row],[Unit_Price]]</f>
        <v>1125</v>
      </c>
    </row>
    <row r="15" spans="1:9" ht="13.2">
      <c r="A15" s="2" t="s">
        <v>75</v>
      </c>
      <c r="B15" s="22">
        <v>45272</v>
      </c>
      <c r="C15" s="2" t="s">
        <v>24</v>
      </c>
      <c r="D15" s="2" t="s">
        <v>33</v>
      </c>
      <c r="E15" s="2" t="s">
        <v>9</v>
      </c>
      <c r="F15" s="2">
        <v>1</v>
      </c>
      <c r="G15" s="19">
        <v>4500</v>
      </c>
      <c r="H15" s="2" t="s">
        <v>10</v>
      </c>
      <c r="I15" s="16">
        <f>Table2[[#This Row],[Qty]]*Table2[[#This Row],[Unit_Price]]</f>
        <v>4500</v>
      </c>
    </row>
    <row r="16" spans="1:9" ht="13.2">
      <c r="A16" s="2" t="s">
        <v>25</v>
      </c>
      <c r="B16" s="22">
        <v>45273</v>
      </c>
      <c r="C16" s="2" t="s">
        <v>84</v>
      </c>
      <c r="D16" s="14" t="s">
        <v>71</v>
      </c>
      <c r="E16" s="2" t="s">
        <v>16</v>
      </c>
      <c r="F16" s="2">
        <v>-5</v>
      </c>
      <c r="G16" s="19">
        <v>850</v>
      </c>
      <c r="H16" s="2" t="s">
        <v>12</v>
      </c>
      <c r="I16" s="16">
        <f>Table2[[#This Row],[Qty]]*Table2[[#This Row],[Unit_Price]]</f>
        <v>-4250</v>
      </c>
    </row>
    <row r="17" spans="1:9" ht="13.2">
      <c r="A17" s="2" t="s">
        <v>26</v>
      </c>
      <c r="B17" s="22">
        <v>45274</v>
      </c>
      <c r="C17" s="2" t="s">
        <v>15</v>
      </c>
      <c r="D17" s="2" t="s">
        <v>35</v>
      </c>
      <c r="E17" s="2" t="s">
        <v>19</v>
      </c>
      <c r="F17" s="2">
        <v>8</v>
      </c>
      <c r="G17" s="19">
        <v>4500</v>
      </c>
      <c r="H17" s="2" t="s">
        <v>10</v>
      </c>
      <c r="I17" s="16">
        <f>Table2[[#This Row],[Qty]]*Table2[[#This Row],[Unit_Price]]</f>
        <v>36000</v>
      </c>
    </row>
    <row r="18" spans="1:9" ht="13.2">
      <c r="A18" s="2" t="s">
        <v>76</v>
      </c>
      <c r="B18" s="22">
        <v>45275</v>
      </c>
      <c r="C18" s="2" t="s">
        <v>84</v>
      </c>
      <c r="D18" s="14" t="s">
        <v>71</v>
      </c>
      <c r="E18" s="2" t="s">
        <v>11</v>
      </c>
      <c r="F18" s="2">
        <v>10</v>
      </c>
      <c r="G18" s="19">
        <v>55</v>
      </c>
      <c r="H18" s="2" t="s">
        <v>10</v>
      </c>
      <c r="I18" s="16">
        <f>Table2[[#This Row],[Qty]]*Table2[[#This Row],[Unit_Price]]</f>
        <v>550</v>
      </c>
    </row>
    <row r="19" spans="1:9" ht="13.2">
      <c r="A19" s="2" t="s">
        <v>27</v>
      </c>
      <c r="B19" s="22">
        <v>45276</v>
      </c>
      <c r="C19" s="2" t="s">
        <v>85</v>
      </c>
      <c r="D19" s="2" t="s">
        <v>32</v>
      </c>
      <c r="E19" s="2" t="s">
        <v>16</v>
      </c>
      <c r="F19" s="2">
        <v>4</v>
      </c>
      <c r="G19" s="19">
        <v>850</v>
      </c>
      <c r="H19" s="2" t="s">
        <v>10</v>
      </c>
      <c r="I19" s="16">
        <f>Table2[[#This Row],[Qty]]*Table2[[#This Row],[Unit_Price]]</f>
        <v>3400</v>
      </c>
    </row>
    <row r="20" spans="1:9" ht="13.2">
      <c r="A20" s="2" t="s">
        <v>28</v>
      </c>
      <c r="B20" s="22">
        <v>45277</v>
      </c>
      <c r="C20" s="2" t="s">
        <v>84</v>
      </c>
      <c r="D20" s="14" t="s">
        <v>71</v>
      </c>
      <c r="E20" s="2" t="s">
        <v>9</v>
      </c>
      <c r="F20" s="2">
        <v>15</v>
      </c>
      <c r="G20" s="19">
        <v>4500</v>
      </c>
      <c r="H20" s="2" t="s">
        <v>10</v>
      </c>
      <c r="I20" s="16">
        <f>Table2[[#This Row],[Qty]]*Table2[[#This Row],[Unit_Price]]</f>
        <v>67500</v>
      </c>
    </row>
    <row r="21" spans="1:9" ht="13.2">
      <c r="A21" s="2" t="s">
        <v>77</v>
      </c>
      <c r="B21" s="22">
        <v>45278</v>
      </c>
      <c r="C21" s="2" t="s">
        <v>24</v>
      </c>
      <c r="D21" s="2" t="s">
        <v>33</v>
      </c>
      <c r="E21" s="2" t="s">
        <v>11</v>
      </c>
      <c r="F21" s="2">
        <v>100</v>
      </c>
      <c r="G21" s="19">
        <v>40</v>
      </c>
      <c r="H21" s="2" t="s">
        <v>10</v>
      </c>
      <c r="I21" s="16">
        <f>Table2[[#This Row],[Qty]]*Table2[[#This Row],[Unit_Price]]</f>
        <v>4000</v>
      </c>
    </row>
    <row r="22" spans="1:9" ht="13.2">
      <c r="A22" s="2" t="s">
        <v>29</v>
      </c>
      <c r="B22" s="22">
        <v>45279</v>
      </c>
      <c r="C22" s="2" t="s">
        <v>15</v>
      </c>
      <c r="D22" s="2" t="s">
        <v>35</v>
      </c>
      <c r="E22" s="2" t="s">
        <v>19</v>
      </c>
      <c r="F22" s="2">
        <v>2</v>
      </c>
      <c r="G22" s="19">
        <v>4500</v>
      </c>
      <c r="H22" s="2" t="s">
        <v>10</v>
      </c>
      <c r="I22" s="16">
        <f>Table2[[#This Row],[Qty]]*Table2[[#This Row],[Unit_Price]]</f>
        <v>9000</v>
      </c>
    </row>
    <row r="23" spans="1:9" ht="13.2">
      <c r="A23" s="2" t="s">
        <v>30</v>
      </c>
      <c r="B23" s="22">
        <v>45280</v>
      </c>
      <c r="C23" s="2" t="s">
        <v>84</v>
      </c>
      <c r="D23" s="14" t="s">
        <v>71</v>
      </c>
      <c r="E23" s="2" t="s">
        <v>16</v>
      </c>
      <c r="F23" s="2">
        <v>0</v>
      </c>
      <c r="G23" s="19">
        <v>850</v>
      </c>
      <c r="H23" s="2" t="s">
        <v>17</v>
      </c>
      <c r="I23" s="16">
        <f>Table2[[#This Row],[Qty]]*Table2[[#This Row],[Unit_Price]]</f>
        <v>0</v>
      </c>
    </row>
    <row r="24" spans="1:9" ht="13.2">
      <c r="A24" s="2" t="s">
        <v>31</v>
      </c>
      <c r="B24" s="22">
        <v>45281</v>
      </c>
      <c r="C24" s="2" t="s">
        <v>85</v>
      </c>
      <c r="D24" s="2" t="s">
        <v>32</v>
      </c>
      <c r="E24" s="2" t="s">
        <v>9</v>
      </c>
      <c r="F24" s="2">
        <v>5</v>
      </c>
      <c r="G24" s="19">
        <v>4500</v>
      </c>
      <c r="H24" s="2" t="s">
        <v>10</v>
      </c>
      <c r="I24" s="16">
        <f>Table2[[#This Row],[Qty]]*Table2[[#This Row],[Unit_Price]]</f>
        <v>22500</v>
      </c>
    </row>
    <row r="25" spans="1:9" ht="13.2">
      <c r="A25" s="2" t="s">
        <v>78</v>
      </c>
      <c r="B25" s="22">
        <v>45282</v>
      </c>
      <c r="C25" s="2" t="s">
        <v>24</v>
      </c>
      <c r="D25" s="2" t="s">
        <v>33</v>
      </c>
      <c r="E25" s="2" t="s">
        <v>11</v>
      </c>
      <c r="F25" s="2">
        <v>12</v>
      </c>
      <c r="G25" s="19">
        <v>45</v>
      </c>
      <c r="H25" s="2" t="s">
        <v>10</v>
      </c>
      <c r="I25" s="16">
        <f>Table2[[#This Row],[Qty]]*Table2[[#This Row],[Unit_Price]]</f>
        <v>540</v>
      </c>
    </row>
    <row r="26" spans="1:9" ht="13.2">
      <c r="A26" s="2" t="s">
        <v>34</v>
      </c>
      <c r="B26" s="22">
        <v>45283</v>
      </c>
      <c r="C26" s="2" t="s">
        <v>84</v>
      </c>
      <c r="D26" s="14" t="s">
        <v>71</v>
      </c>
      <c r="E26" s="2" t="s">
        <v>19</v>
      </c>
      <c r="F26" s="2">
        <v>-1</v>
      </c>
      <c r="G26" s="19">
        <v>4500</v>
      </c>
      <c r="H26" s="2" t="s">
        <v>12</v>
      </c>
      <c r="I26" s="16">
        <f>Table2[[#This Row],[Qty]]*Table2[[#This Row],[Unit_Price]]</f>
        <v>-4500</v>
      </c>
    </row>
    <row r="27" spans="1:9" ht="13.2">
      <c r="A27" s="2" t="s">
        <v>79</v>
      </c>
      <c r="B27" s="22">
        <v>45284</v>
      </c>
      <c r="C27" s="2" t="s">
        <v>15</v>
      </c>
      <c r="D27" s="2" t="s">
        <v>35</v>
      </c>
      <c r="E27" s="2" t="s">
        <v>16</v>
      </c>
      <c r="F27" s="2">
        <v>20</v>
      </c>
      <c r="G27" s="19">
        <v>850</v>
      </c>
      <c r="H27" s="2" t="s">
        <v>10</v>
      </c>
      <c r="I27" s="16">
        <f>Table2[[#This Row],[Qty]]*Table2[[#This Row],[Unit_Price]]</f>
        <v>17000</v>
      </c>
    </row>
    <row r="28" spans="1:9" ht="13.2">
      <c r="A28" s="2" t="s">
        <v>36</v>
      </c>
      <c r="B28" s="22">
        <v>45285</v>
      </c>
      <c r="C28" s="2" t="s">
        <v>84</v>
      </c>
      <c r="D28" s="14" t="s">
        <v>71</v>
      </c>
      <c r="E28" s="2" t="s">
        <v>11</v>
      </c>
      <c r="F28" s="2">
        <v>30</v>
      </c>
      <c r="G28" s="19">
        <v>45</v>
      </c>
      <c r="H28" s="2" t="s">
        <v>10</v>
      </c>
      <c r="I28" s="16">
        <f>Table2[[#This Row],[Qty]]*Table2[[#This Row],[Unit_Price]]</f>
        <v>1350</v>
      </c>
    </row>
    <row r="29" spans="1:9" ht="13.2">
      <c r="A29" s="2" t="s">
        <v>37</v>
      </c>
      <c r="B29" s="22">
        <v>45286</v>
      </c>
      <c r="C29" s="2" t="s">
        <v>85</v>
      </c>
      <c r="D29" s="2" t="s">
        <v>32</v>
      </c>
      <c r="E29" s="2" t="s">
        <v>9</v>
      </c>
      <c r="F29" s="2">
        <v>2</v>
      </c>
      <c r="G29" s="19">
        <v>4500</v>
      </c>
      <c r="H29" s="2" t="s">
        <v>10</v>
      </c>
      <c r="I29" s="16">
        <f>Table2[[#This Row],[Qty]]*Table2[[#This Row],[Unit_Price]]</f>
        <v>9000</v>
      </c>
    </row>
    <row r="30" spans="1:9" ht="13.2">
      <c r="A30" s="2" t="s">
        <v>80</v>
      </c>
      <c r="B30" s="22">
        <v>45287</v>
      </c>
      <c r="C30" s="2" t="s">
        <v>24</v>
      </c>
      <c r="D30" s="2" t="s">
        <v>33</v>
      </c>
      <c r="E30" s="2" t="s">
        <v>16</v>
      </c>
      <c r="F30" s="2">
        <v>6</v>
      </c>
      <c r="G30" s="19">
        <v>850</v>
      </c>
      <c r="H30" s="2" t="s">
        <v>10</v>
      </c>
      <c r="I30" s="16">
        <f>Table2[[#This Row],[Qty]]*Table2[[#This Row],[Unit_Price]]</f>
        <v>5100</v>
      </c>
    </row>
    <row r="31" spans="1:9" ht="13.2">
      <c r="A31" s="2" t="s">
        <v>38</v>
      </c>
      <c r="B31" s="22">
        <v>45288</v>
      </c>
      <c r="C31" s="2" t="s">
        <v>15</v>
      </c>
      <c r="D31" s="2" t="s">
        <v>35</v>
      </c>
      <c r="E31" s="2" t="s">
        <v>19</v>
      </c>
      <c r="F31" s="2">
        <v>10</v>
      </c>
      <c r="G31" s="19">
        <v>4500</v>
      </c>
      <c r="H31" s="2" t="s">
        <v>10</v>
      </c>
      <c r="I31" s="16">
        <f>Table2[[#This Row],[Qty]]*Table2[[#This Row],[Unit_Price]]</f>
        <v>45000</v>
      </c>
    </row>
    <row r="32" spans="1:9" ht="13.2">
      <c r="A32" s="2" t="s">
        <v>39</v>
      </c>
      <c r="B32" s="22">
        <v>45289</v>
      </c>
      <c r="C32" s="2" t="s">
        <v>84</v>
      </c>
      <c r="D32" s="14" t="s">
        <v>71</v>
      </c>
      <c r="E32" s="2" t="s">
        <v>11</v>
      </c>
      <c r="F32" s="2">
        <v>50</v>
      </c>
      <c r="G32" s="19">
        <v>45</v>
      </c>
      <c r="H32" s="2" t="s">
        <v>10</v>
      </c>
      <c r="I32" s="16">
        <f>Table2[[#This Row],[Qty]]*Table2[[#This Row],[Unit_Price]]</f>
        <v>2250</v>
      </c>
    </row>
    <row r="33" spans="1:9" ht="13.2">
      <c r="A33" s="2" t="s">
        <v>40</v>
      </c>
      <c r="B33" s="22">
        <v>45290</v>
      </c>
      <c r="C33" s="2" t="s">
        <v>85</v>
      </c>
      <c r="D33" s="2" t="s">
        <v>32</v>
      </c>
      <c r="E33" s="2" t="s">
        <v>9</v>
      </c>
      <c r="F33" s="2">
        <v>1</v>
      </c>
      <c r="G33" s="19">
        <v>4500</v>
      </c>
      <c r="H33" s="2" t="s">
        <v>10</v>
      </c>
      <c r="I33" s="16">
        <f>Table2[[#This Row],[Qty]]*Table2[[#This Row],[Unit_Price]]</f>
        <v>4500</v>
      </c>
    </row>
    <row r="34" spans="1:9" ht="13.2">
      <c r="A34" s="2" t="s">
        <v>81</v>
      </c>
      <c r="B34" s="22">
        <v>45291</v>
      </c>
      <c r="C34" s="2" t="s">
        <v>84</v>
      </c>
      <c r="D34" s="14" t="s">
        <v>71</v>
      </c>
      <c r="E34" s="2" t="s">
        <v>16</v>
      </c>
      <c r="F34" s="2">
        <v>15</v>
      </c>
      <c r="G34" s="19">
        <v>850</v>
      </c>
      <c r="H34" s="2" t="s">
        <v>10</v>
      </c>
      <c r="I34" s="16">
        <f>Table2[[#This Row],[Qty]]*Table2[[#This Row],[Unit_Price]]</f>
        <v>12750</v>
      </c>
    </row>
    <row r="35" spans="1:9" ht="13.2">
      <c r="A35" s="2" t="s">
        <v>41</v>
      </c>
      <c r="B35" s="22">
        <v>45292</v>
      </c>
      <c r="C35" s="2" t="s">
        <v>24</v>
      </c>
      <c r="D35" s="2" t="s">
        <v>33</v>
      </c>
      <c r="E35" s="2" t="s">
        <v>19</v>
      </c>
      <c r="F35" s="2">
        <v>4</v>
      </c>
      <c r="G35" s="19">
        <v>4500</v>
      </c>
      <c r="H35" s="2" t="s">
        <v>10</v>
      </c>
      <c r="I35" s="16">
        <f>Table2[[#This Row],[Qty]]*Table2[[#This Row],[Unit_Price]]</f>
        <v>18000</v>
      </c>
    </row>
    <row r="36" spans="1:9" ht="13.2">
      <c r="A36" s="2" t="s">
        <v>42</v>
      </c>
      <c r="B36" s="22">
        <v>45293</v>
      </c>
      <c r="C36" s="2" t="s">
        <v>15</v>
      </c>
      <c r="D36" s="2" t="s">
        <v>35</v>
      </c>
      <c r="E36" s="2" t="s">
        <v>11</v>
      </c>
      <c r="F36" s="2">
        <v>-10</v>
      </c>
      <c r="G36" s="19">
        <v>45</v>
      </c>
      <c r="H36" s="2" t="s">
        <v>12</v>
      </c>
      <c r="I36" s="16">
        <f>Table2[[#This Row],[Qty]]*Table2[[#This Row],[Unit_Price]]</f>
        <v>-450</v>
      </c>
    </row>
    <row r="37" spans="1:9" ht="13.2">
      <c r="A37" s="2" t="s">
        <v>82</v>
      </c>
      <c r="B37" s="22">
        <v>45295</v>
      </c>
      <c r="C37" s="2" t="s">
        <v>84</v>
      </c>
      <c r="D37" s="14" t="s">
        <v>71</v>
      </c>
      <c r="E37" s="2" t="s">
        <v>9</v>
      </c>
      <c r="F37" s="2">
        <v>7</v>
      </c>
      <c r="G37" s="19">
        <v>4500</v>
      </c>
      <c r="H37" s="2" t="s">
        <v>10</v>
      </c>
      <c r="I37" s="16">
        <f>Table2[[#This Row],[Qty]]*Table2[[#This Row],[Unit_Price]]</f>
        <v>31500</v>
      </c>
    </row>
    <row r="38" spans="1:9" ht="13.2">
      <c r="A38" s="2" t="s">
        <v>43</v>
      </c>
      <c r="B38" s="22">
        <v>45295</v>
      </c>
      <c r="C38" s="2" t="s">
        <v>85</v>
      </c>
      <c r="D38" s="2" t="s">
        <v>32</v>
      </c>
      <c r="E38" s="2" t="s">
        <v>16</v>
      </c>
      <c r="F38" s="2">
        <v>2</v>
      </c>
      <c r="G38" s="19">
        <v>850</v>
      </c>
      <c r="H38" s="2" t="s">
        <v>10</v>
      </c>
      <c r="I38" s="16">
        <f>Table2[[#This Row],[Qty]]*Table2[[#This Row],[Unit_Price]]</f>
        <v>1700</v>
      </c>
    </row>
    <row r="39" spans="1:9" ht="13.2">
      <c r="A39" s="2" t="s">
        <v>44</v>
      </c>
      <c r="B39" s="22">
        <v>45296</v>
      </c>
      <c r="C39" s="2" t="s">
        <v>24</v>
      </c>
      <c r="D39" s="2" t="s">
        <v>33</v>
      </c>
      <c r="E39" s="2" t="s">
        <v>19</v>
      </c>
      <c r="F39" s="2">
        <v>11</v>
      </c>
      <c r="G39" s="19">
        <v>4500</v>
      </c>
      <c r="H39" s="2" t="s">
        <v>10</v>
      </c>
      <c r="I39" s="16">
        <f>Table2[[#This Row],[Qty]]*Table2[[#This Row],[Unit_Price]]</f>
        <v>49500</v>
      </c>
    </row>
    <row r="40" spans="1:9" ht="13.2">
      <c r="A40" s="2" t="s">
        <v>83</v>
      </c>
      <c r="B40" s="22">
        <v>45297</v>
      </c>
      <c r="C40" s="2" t="s">
        <v>15</v>
      </c>
      <c r="D40" s="2" t="s">
        <v>35</v>
      </c>
      <c r="E40" s="2" t="s">
        <v>11</v>
      </c>
      <c r="F40" s="2">
        <v>80</v>
      </c>
      <c r="G40" s="19">
        <v>40</v>
      </c>
      <c r="H40" s="2" t="s">
        <v>10</v>
      </c>
      <c r="I40" s="16">
        <f>Table2[[#This Row],[Qty]]*Table2[[#This Row],[Unit_Price]]</f>
        <v>3200</v>
      </c>
    </row>
    <row r="41" spans="1:9" ht="13.2">
      <c r="A41" s="2" t="s">
        <v>45</v>
      </c>
      <c r="B41" s="22">
        <v>45298</v>
      </c>
      <c r="C41" s="2" t="s">
        <v>84</v>
      </c>
      <c r="D41" s="14" t="s">
        <v>71</v>
      </c>
      <c r="E41" s="2" t="s">
        <v>9</v>
      </c>
      <c r="F41" s="2">
        <v>3</v>
      </c>
      <c r="G41" s="19">
        <v>4500</v>
      </c>
      <c r="H41" s="2" t="s">
        <v>10</v>
      </c>
      <c r="I41" s="16">
        <f>Table2[[#This Row],[Qty]]*Table2[[#This Row],[Unit_Price]]</f>
        <v>13500</v>
      </c>
    </row>
    <row r="42" spans="1:9" ht="13.2">
      <c r="A42" s="2" t="s">
        <v>46</v>
      </c>
      <c r="B42" s="22">
        <v>45299</v>
      </c>
      <c r="C42" s="2" t="s">
        <v>85</v>
      </c>
      <c r="D42" s="2" t="s">
        <v>32</v>
      </c>
      <c r="E42" s="2" t="s">
        <v>16</v>
      </c>
      <c r="F42" s="2">
        <v>0</v>
      </c>
      <c r="G42" s="19">
        <v>850</v>
      </c>
      <c r="H42" s="2" t="s">
        <v>17</v>
      </c>
      <c r="I42" s="16">
        <f>Table2[[#This Row],[Qty]]*Table2[[#This Row],[Unit_Price]]</f>
        <v>0</v>
      </c>
    </row>
    <row r="43" spans="1:9" ht="13.2">
      <c r="A43" s="2" t="s">
        <v>47</v>
      </c>
      <c r="B43" s="22">
        <v>45300</v>
      </c>
      <c r="C43" s="2" t="s">
        <v>24</v>
      </c>
      <c r="D43" s="2" t="s">
        <v>33</v>
      </c>
      <c r="E43" s="2" t="s">
        <v>19</v>
      </c>
      <c r="F43" s="2">
        <v>5</v>
      </c>
      <c r="G43" s="19">
        <v>4500</v>
      </c>
      <c r="H43" s="2" t="s">
        <v>10</v>
      </c>
      <c r="I43" s="16">
        <f>Table2[[#This Row],[Qty]]*Table2[[#This Row],[Unit_Price]]</f>
        <v>22500</v>
      </c>
    </row>
    <row r="44" spans="1:9" ht="15.75" customHeight="1">
      <c r="A44" s="2"/>
      <c r="B44" s="22"/>
      <c r="C44" s="2"/>
      <c r="D44" s="2"/>
      <c r="E44" s="2"/>
      <c r="F44" s="2"/>
      <c r="G44" s="19"/>
      <c r="H44" s="2"/>
      <c r="I44" s="16">
        <f>SUBTOTAL(109,Table2[Revenue])</f>
        <v>526565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5736F-DFBC-4117-9A14-734C5017D57F}">
  <dimension ref="A3:F22"/>
  <sheetViews>
    <sheetView topLeftCell="A58" workbookViewId="0">
      <selection activeCell="J32" sqref="J32"/>
    </sheetView>
  </sheetViews>
  <sheetFormatPr defaultRowHeight="13.2"/>
  <cols>
    <col min="1" max="1" width="11.33203125" bestFit="1" customWidth="1"/>
    <col min="2" max="2" width="15.33203125" bestFit="1" customWidth="1"/>
    <col min="5" max="5" width="11.33203125" bestFit="1" customWidth="1"/>
    <col min="6" max="6" width="22.5546875" bestFit="1" customWidth="1"/>
  </cols>
  <sheetData>
    <row r="3" spans="1:6">
      <c r="A3" s="25" t="s">
        <v>2</v>
      </c>
      <c r="B3" t="s">
        <v>88</v>
      </c>
      <c r="E3" s="25" t="s">
        <v>7</v>
      </c>
      <c r="F3" t="s">
        <v>92</v>
      </c>
    </row>
    <row r="4" spans="1:6">
      <c r="A4" s="26" t="s">
        <v>24</v>
      </c>
      <c r="B4" s="27">
        <v>119890</v>
      </c>
      <c r="E4" s="26" t="s">
        <v>10</v>
      </c>
      <c r="F4" s="28">
        <v>32</v>
      </c>
    </row>
    <row r="5" spans="1:6">
      <c r="A5" s="26" t="s">
        <v>84</v>
      </c>
      <c r="B5" s="27">
        <v>246650</v>
      </c>
      <c r="E5" s="26" t="s">
        <v>17</v>
      </c>
      <c r="F5" s="28">
        <v>3</v>
      </c>
    </row>
    <row r="6" spans="1:6">
      <c r="A6" s="26" t="s">
        <v>15</v>
      </c>
      <c r="B6" s="27">
        <v>108900</v>
      </c>
      <c r="E6" s="26" t="s">
        <v>12</v>
      </c>
      <c r="F6" s="28">
        <v>5</v>
      </c>
    </row>
    <row r="7" spans="1:6">
      <c r="A7" s="26" t="s">
        <v>85</v>
      </c>
      <c r="B7" s="27">
        <v>51125</v>
      </c>
      <c r="E7" s="26" t="s">
        <v>87</v>
      </c>
      <c r="F7" s="28">
        <v>40</v>
      </c>
    </row>
    <row r="8" spans="1:6">
      <c r="A8" s="26" t="s">
        <v>87</v>
      </c>
      <c r="B8" s="27">
        <v>526565</v>
      </c>
    </row>
    <row r="11" spans="1:6">
      <c r="A11" s="25" t="s">
        <v>93</v>
      </c>
      <c r="B11" t="s">
        <v>88</v>
      </c>
    </row>
    <row r="12" spans="1:6">
      <c r="A12" s="26" t="s">
        <v>89</v>
      </c>
      <c r="B12" s="27">
        <v>387115</v>
      </c>
    </row>
    <row r="13" spans="1:6">
      <c r="A13" s="26" t="s">
        <v>90</v>
      </c>
      <c r="B13" s="27">
        <v>139450</v>
      </c>
    </row>
    <row r="14" spans="1:6">
      <c r="A14" s="26" t="s">
        <v>87</v>
      </c>
      <c r="B14" s="27">
        <v>526565</v>
      </c>
    </row>
    <row r="17" spans="1:2">
      <c r="A17" s="25" t="s">
        <v>4</v>
      </c>
      <c r="B17" t="s">
        <v>91</v>
      </c>
    </row>
    <row r="18" spans="1:2">
      <c r="A18" s="26" t="s">
        <v>19</v>
      </c>
      <c r="B18" s="28">
        <v>54</v>
      </c>
    </row>
    <row r="19" spans="1:2">
      <c r="A19" s="26" t="s">
        <v>9</v>
      </c>
      <c r="B19" s="28">
        <v>51</v>
      </c>
    </row>
    <row r="20" spans="1:2">
      <c r="A20" s="26" t="s">
        <v>16</v>
      </c>
      <c r="B20" s="28">
        <v>41</v>
      </c>
    </row>
    <row r="21" spans="1:2">
      <c r="A21" s="26" t="s">
        <v>11</v>
      </c>
      <c r="B21" s="28">
        <v>445</v>
      </c>
    </row>
    <row r="22" spans="1:2">
      <c r="A22" s="26" t="s">
        <v>87</v>
      </c>
      <c r="B22" s="28">
        <v>591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9D9E9-6D06-47F1-9CC3-4FAACA86CDCC}">
  <dimension ref="F1:K1"/>
  <sheetViews>
    <sheetView showGridLines="0" tabSelected="1" workbookViewId="0">
      <selection activeCell="E6" sqref="E6"/>
    </sheetView>
  </sheetViews>
  <sheetFormatPr defaultRowHeight="13.2"/>
  <sheetData>
    <row r="1" spans="6:11" ht="22.8">
      <c r="F1" s="29" t="s">
        <v>94</v>
      </c>
      <c r="G1" s="29"/>
      <c r="H1" s="29"/>
      <c r="I1" s="29"/>
      <c r="J1" s="29"/>
      <c r="K1" s="2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Description</vt: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Muhammad Ariff Aidil Mohd Anis</cp:lastModifiedBy>
  <dcterms:created xsi:type="dcterms:W3CDTF">2026-01-04T07:29:27Z</dcterms:created>
  <dcterms:modified xsi:type="dcterms:W3CDTF">2026-03-11T08:30:27Z</dcterms:modified>
</cp:coreProperties>
</file>